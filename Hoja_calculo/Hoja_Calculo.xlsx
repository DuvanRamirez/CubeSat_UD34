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uvan\Desktop\Documentos\Materias\semestre 10\diseño\practica3\CubeSat UD34\Hoja_calculo\"/>
    </mc:Choice>
  </mc:AlternateContent>
  <xr:revisionPtr revIDLastSave="0" documentId="13_ncr:1_{E1714547-DBD8-4D06-8160-E0C1BDA57F12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Leeme" sheetId="1" r:id="rId1"/>
    <sheet name="Parametros" sheetId="2" r:id="rId2"/>
    <sheet name="Supuestos" sheetId="3" r:id="rId3"/>
    <sheet name="Requisitos" sheetId="4" r:id="rId4"/>
    <sheet name="Especificaciones" sheetId="5" r:id="rId5"/>
    <sheet name="Trazabilidad" sheetId="6" r:id="rId6"/>
    <sheet name="HW_SW" sheetId="7" r:id="rId7"/>
    <sheet name="Recursos" sheetId="8" r:id="rId8"/>
    <sheet name="Alternativas" sheetId="9" r:id="rId9"/>
    <sheet name="Matriz" sheetId="10" r:id="rId10"/>
    <sheet name="Potencia" sheetId="11" r:id="rId11"/>
    <sheet name="Masa_Volumen" sheetId="12" r:id="rId12"/>
    <sheet name="Datos" sheetId="13" r:id="rId13"/>
    <sheet name="Enlace" sheetId="14" r:id="rId14"/>
    <sheet name="Interfaces" sheetId="15" r:id="rId15"/>
    <sheet name="Riesgos" sheetId="16" r:id="rId1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3" i="14" l="1"/>
  <c r="B13" i="14"/>
  <c r="B10" i="14"/>
  <c r="B5" i="13"/>
  <c r="D5" i="13" s="1"/>
  <c r="E5" i="13" s="1"/>
  <c r="B4" i="13"/>
  <c r="E4" i="13" s="1"/>
  <c r="C2" i="13"/>
  <c r="C3" i="13" s="1"/>
  <c r="D9" i="12"/>
  <c r="D12" i="12" s="1"/>
  <c r="B9" i="12"/>
  <c r="B10" i="12" s="1"/>
  <c r="B12" i="12" s="1"/>
  <c r="B21" i="11"/>
  <c r="B17" i="11"/>
  <c r="D13" i="10"/>
  <c r="C12" i="10"/>
  <c r="D11" i="10"/>
  <c r="C10" i="10"/>
  <c r="E9" i="10"/>
  <c r="B9" i="10"/>
  <c r="B45" i="2"/>
  <c r="B8" i="13" s="1"/>
  <c r="B39" i="2"/>
  <c r="B37" i="2"/>
  <c r="B32" i="2"/>
  <c r="B23" i="2"/>
  <c r="B21" i="2"/>
  <c r="B22" i="2" s="1"/>
  <c r="B19" i="2"/>
  <c r="B6" i="2"/>
  <c r="B10" i="2" s="1"/>
  <c r="B18" i="11" l="1"/>
  <c r="B15" i="14"/>
  <c r="B16" i="14" s="1"/>
  <c r="B17" i="14" s="1"/>
  <c r="C15" i="14"/>
  <c r="C16" i="14" s="1"/>
  <c r="C17" i="14" s="1"/>
  <c r="B20" i="2"/>
  <c r="B8" i="2"/>
  <c r="B26" i="2" s="1"/>
  <c r="B33" i="2"/>
  <c r="C4" i="13"/>
  <c r="D4" i="13"/>
  <c r="B3" i="14"/>
  <c r="B14" i="14" s="1"/>
  <c r="B31" i="14" s="1"/>
  <c r="B32" i="14" s="1"/>
  <c r="C3" i="14"/>
  <c r="C14" i="14" s="1"/>
  <c r="B7" i="2"/>
  <c r="B9" i="2"/>
  <c r="B28" i="2" l="1"/>
  <c r="B3" i="13"/>
  <c r="B38" i="2"/>
  <c r="B19" i="14"/>
  <c r="B18" i="14"/>
  <c r="C20" i="14"/>
  <c r="C19" i="14"/>
  <c r="C18" i="14"/>
  <c r="B29" i="2"/>
  <c r="B34" i="2"/>
  <c r="B19" i="11"/>
  <c r="B12" i="2"/>
  <c r="B30" i="2"/>
  <c r="B11" i="2"/>
  <c r="F33" i="11" l="1"/>
  <c r="F27" i="11"/>
  <c r="G31" i="11"/>
  <c r="F28" i="11"/>
  <c r="F32" i="11"/>
  <c r="F26" i="11"/>
  <c r="F31" i="11"/>
  <c r="F25" i="11"/>
  <c r="G30" i="11"/>
  <c r="G24" i="11"/>
  <c r="G34" i="11" s="1"/>
  <c r="G35" i="11" s="1"/>
  <c r="F30" i="11"/>
  <c r="F24" i="11"/>
  <c r="F34" i="11" s="1"/>
  <c r="F35" i="11" s="1"/>
  <c r="G29" i="11"/>
  <c r="F29" i="11"/>
  <c r="G33" i="11"/>
  <c r="G27" i="11"/>
  <c r="G32" i="11"/>
  <c r="G26" i="11"/>
  <c r="G25" i="11"/>
  <c r="G28" i="11"/>
  <c r="B42" i="11"/>
  <c r="B20" i="11"/>
  <c r="E3" i="13"/>
  <c r="D3" i="13"/>
  <c r="B2" i="13"/>
  <c r="B46" i="2"/>
  <c r="B38" i="11" l="1"/>
  <c r="B37" i="11"/>
  <c r="B40" i="11"/>
  <c r="B41" i="11" s="1"/>
  <c r="B44" i="11" s="1"/>
  <c r="B39" i="11"/>
  <c r="B43" i="11" s="1"/>
  <c r="E2" i="13"/>
  <c r="E6" i="13" s="1"/>
  <c r="B12" i="13" s="1"/>
  <c r="D2" i="13"/>
  <c r="B10" i="13"/>
  <c r="B13" i="13" s="1"/>
  <c r="D6" i="13" l="1"/>
  <c r="B9" i="13"/>
</calcChain>
</file>

<file path=xl/sharedStrings.xml><?xml version="1.0" encoding="utf-8"?>
<sst xmlns="http://schemas.openxmlformats.org/spreadsheetml/2006/main" count="1235" uniqueCount="940">
  <si>
    <t>CubeSat UD34 – Práctica 3: hoja de cálculo de soporte</t>
  </si>
  <si>
    <t>Convención de colores: texto azul = dato de entrada editable; negro = fórmula; verde = vínculo a otra hoja; relleno amarillo = supuesto clave.</t>
  </si>
  <si>
    <t>Hojas: Parametros (entradas y cálculos de órbita y carga útil) · Requisitos · Especificaciones · Trazabilidad · HW_SW · Recursos · Alternativas · Matriz (ponderada y sensibilidad) · Potencia · Masa_Volumen · Datos · Enlace · Interfaces · Riesgos.</t>
  </si>
  <si>
    <t>Referencias entre corchetes: [proyecto] descripción del proyecto UD34; [cds] CubeSat Design Specification Rev. 14.1; [soapwr], [soagnc], [soaav], [soacom] NASA State-of-the-Art, cap. 3, 5, 8 y 9; [ecss20], [ecssemc], [ecsspcb] normas ECSS; [nasa41], [nasa42] NASA SE Handbook.</t>
  </si>
  <si>
    <t>Parámetro</t>
  </si>
  <si>
    <t>Valor</t>
  </si>
  <si>
    <t>Unidad</t>
  </si>
  <si>
    <t>Fuente / fórmula</t>
  </si>
  <si>
    <t>Parámetro gravitacional terrestre μ</t>
  </si>
  <si>
    <t>km³/s²</t>
  </si>
  <si>
    <t>Constante</t>
  </si>
  <si>
    <t>Radio terrestre ecuatorial</t>
  </si>
  <si>
    <t>km</t>
  </si>
  <si>
    <t>Coeficiente J2</t>
  </si>
  <si>
    <t>-</t>
  </si>
  <si>
    <t>Altitud orbital</t>
  </si>
  <si>
    <t>[proyecto]</t>
  </si>
  <si>
    <t>Semieje mayor</t>
  </si>
  <si>
    <t>Re + h</t>
  </si>
  <si>
    <t>Período orbital</t>
  </si>
  <si>
    <t>min</t>
  </si>
  <si>
    <t>2π√(a³/μ)</t>
  </si>
  <si>
    <t>Velocidad de la traza</t>
  </si>
  <si>
    <t>km/s</t>
  </si>
  <si>
    <t>√(μ/a)·Re/a</t>
  </si>
  <si>
    <t>Inclinación heliosíncrona</t>
  </si>
  <si>
    <t>°</t>
  </si>
  <si>
    <t>Precesión nodal J2 = 360°/año</t>
  </si>
  <si>
    <t>Fracción de eclipse (β = 0)</t>
  </si>
  <si>
    <t>Peor caso (S-02)</t>
  </si>
  <si>
    <t>Duración del eclipse</t>
  </si>
  <si>
    <t>Órbitas por día</t>
  </si>
  <si>
    <t>Tamaño de píxel</t>
  </si>
  <si>
    <t>µm</t>
  </si>
  <si>
    <t>Sensor CMOS 5 MP (ET-05)</t>
  </si>
  <si>
    <t>Distancia focal</t>
  </si>
  <si>
    <t>mm</t>
  </si>
  <si>
    <t>Lente (ET-03)</t>
  </si>
  <si>
    <t>Columnas leídas (ventana)</t>
  </si>
  <si>
    <t>px</t>
  </si>
  <si>
    <t>ET-04</t>
  </si>
  <si>
    <t>Filas del sensor</t>
  </si>
  <si>
    <t>ET-05</t>
  </si>
  <si>
    <t>Bits por píxel</t>
  </si>
  <si>
    <t>bit</t>
  </si>
  <si>
    <t>ET-02</t>
  </si>
  <si>
    <t>Número de bandas</t>
  </si>
  <si>
    <t>RF-01</t>
  </si>
  <si>
    <t>GSD en nadir</t>
  </si>
  <si>
    <t>m</t>
  </si>
  <si>
    <t>H·p/f (Ec. 1)</t>
  </si>
  <si>
    <t>Ancho de franja</t>
  </si>
  <si>
    <t>Ncol·GSD</t>
  </si>
  <si>
    <t>Filas por banda</t>
  </si>
  <si>
    <t>Longitud de franja por banda</t>
  </si>
  <si>
    <t>Datos por toma (crudo)</t>
  </si>
  <si>
    <t>MB</t>
  </si>
  <si>
    <t>Intervalo entre tomas</t>
  </si>
  <si>
    <t>s</t>
  </si>
  <si>
    <t>ET-06</t>
  </si>
  <si>
    <t>Duración de la escena objetivo</t>
  </si>
  <si>
    <t>Tomas por sesión</t>
  </si>
  <si>
    <t>Escena + barrido de las 4 franjas</t>
  </si>
  <si>
    <t>Razón de compresión sin pérdidas</t>
  </si>
  <si>
    <t>S-05</t>
  </si>
  <si>
    <t>Volumen por sesión (comprimido)</t>
  </si>
  <si>
    <t>Traslape entre tomas</t>
  </si>
  <si>
    <t>Debe ser &gt; 0</t>
  </si>
  <si>
    <t>Exposición máxima</t>
  </si>
  <si>
    <t>ms</t>
  </si>
  <si>
    <t>Ec. 2</t>
  </si>
  <si>
    <t>Reloj de píxel</t>
  </si>
  <si>
    <t>MHz</t>
  </si>
  <si>
    <t>ET-07</t>
  </si>
  <si>
    <t>Tiempo de lectura</t>
  </si>
  <si>
    <t>Estabilidad máxima</t>
  </si>
  <si>
    <t>°/s</t>
  </si>
  <si>
    <t>Ec. 3</t>
  </si>
  <si>
    <t>Cizalla por rolling shutter</t>
  </si>
  <si>
    <t>Se corrige en tierra</t>
  </si>
  <si>
    <t>Ciclos por muestra de compresión</t>
  </si>
  <si>
    <t>ciclos</t>
  </si>
  <si>
    <t>S-06 (Emporda: 550-710)</t>
  </si>
  <si>
    <t>Reloj de CPU</t>
  </si>
  <si>
    <t>ET-10</t>
  </si>
  <si>
    <t>Tiempo de compresión por toma</t>
  </si>
  <si>
    <t>Compresión de una sesión (diferida)</t>
  </si>
  <si>
    <t>Debe terminar antes del siguiente contacto</t>
  </si>
  <si>
    <t>Desplazamiento por 2° de error</t>
  </si>
  <si>
    <t>RNF-07</t>
  </si>
  <si>
    <t>Pases por día sobre Medellín (el ≥ 10°)</t>
  </si>
  <si>
    <t>pases/día</t>
  </si>
  <si>
    <t>calculos_ud34.py (10 días)</t>
  </si>
  <si>
    <t>Tiempo de contacto por día</t>
  </si>
  <si>
    <t>min/día</t>
  </si>
  <si>
    <t>Fracción útil del contacto para banda S</t>
  </si>
  <si>
    <t>Presupuesto de datos</t>
  </si>
  <si>
    <t>Eficiencia de trama</t>
  </si>
  <si>
    <t>Tasa de banda S</t>
  </si>
  <si>
    <t>Mbps</t>
  </si>
  <si>
    <t>ET-12</t>
  </si>
  <si>
    <t>Capacidad útil de banda S</t>
  </si>
  <si>
    <t>MB/día</t>
  </si>
  <si>
    <t>ET-14</t>
  </si>
  <si>
    <t>Tiempo S por sesión</t>
  </si>
  <si>
    <t>Sesiones por semana</t>
  </si>
  <si>
    <t>S-07</t>
  </si>
  <si>
    <t>ID</t>
  </si>
  <si>
    <t>Supuesto</t>
  </si>
  <si>
    <t>Justificación / consecuencia</t>
  </si>
  <si>
    <t>S-01</t>
  </si>
  <si>
    <t>Órbita circular heliosíncrona de 550 km, i=97,6°, hora local del nodo descendente 10:30.</t>
  </si>
  <si>
    <t>i calculada con la condición de precesión nodal J_2 (archivos de soporte). Coincide con la de AlAinSat-1, en SSO a 550 km (i=97,565°) [alainsat]. La hora 10:30 es la de Sentinel-2, elegida como compromiso entre iluminación y nubosidad [s2orbit].</t>
  </si>
  <si>
    <t>S-02</t>
  </si>
  <si>
    <t>Eclipse de peor caso: 35,6 min de 95,6 min (β=0).</t>
  </si>
  <si>
    <t>Dimensiona batería y promedio de generación de forma conservadora.</t>
  </si>
  <si>
    <t>S-03</t>
  </si>
  <si>
    <t>Estación de referencia en Medellín (6,25°N, 75,56°W), elevación mínima 10°; UHF: Yagi 16,3 dBi, 120 W, receptor con NF 2 dB; banda S: parábola de 2 m con G/T=4,9 dB/K.</t>
  </si>
  <si>
    <t>La estación no se diseña; se toman los parámetros de un kit comercial de estación para pequeños satélites [isisgs,ntnugs]. La antena UHF se toma a T_0=290 K (conservador). Si solo hubiera parábola de 1,2 m, ver riesgo R-05.</t>
  </si>
  <si>
    <t>S-04</t>
  </si>
  <si>
    <t>No se usa receptor GNSS; la posición se propaga a bordo con SGP4 a partir de TLE cargados desde tierra.</t>
  </si>
  <si>
    <t>El error de TLE+SGP4 crece del orden de 1--3 km/día [sgp4]; con TLE nuevos cada ≤48 h el error queda ≤7 km, menor que media franja (31 km). Se ahorra la potencia y el volumen de un receptor.</t>
  </si>
  <si>
    <t>Compresión sin pérdidas a bordo con razón 2:1.</t>
  </si>
  <si>
    <t>CCSDS-123 es el estándar de compresión sin pérdidas para imágenes multiespectrales [ccsds120]; su implementación en ECOSTRESS logra típicamente 2,3:1 [kiely]. Con una razón de solo 1,5:1 una sesión ocupa 65,5 MB, se descarga en 1,3 días (&lt;2, RNF-05) y 7 días ocupan 0,46 GB (&lt;1 GB, ET-08): la arquitectura no cambia.</t>
  </si>
  <si>
    <t>S-06</t>
  </si>
  <si>
    <t>Costo de compresión en software de 700 ciclos de reloj por muestra.</t>
  </si>
  <si>
    <t>La implementación de referencia de CCSDS-123 (Emporda) procesa ≈4,9 Msamples/s en un i7-7500U con 15 bandas de predicción [fjeldtvedt], es decir, ≈550--710 ciclos/muestra; se toma el valor alto. La compresión se hace después de la sesión desde memoria (Tabla recursos), por lo que un costo mayor solo alarga ese tiempo.</t>
  </si>
  <si>
    <t>Operación nominal de 4 sesiones de captura por semana; picos de 1 sesión/día.</t>
  </si>
  <si>
    <t>Coherente con la capacidad de descarga (Sección presupuestos) y con la nubosidad de la zona.</t>
  </si>
  <si>
    <t>S-08</t>
  </si>
  <si>
    <t>Consumos, masas y tamaños tomados de productos de la misma clase: Tablas 3-1, 3-4 y 3-8 [soapwr], 5-3 a 5-7 [soagnc], 8-4 [soaav], 9-2 y 9-3 [soacom] y hojas de datos de referencia (Tabla pot).</t>
  </si>
  <si>
    <t>Nivel suficiente para demostrar viabilidad; se añade 20 % de margen. La masa de la óptica es la única estimación propia.</t>
  </si>
  <si>
    <t>S-09</t>
  </si>
  <si>
    <t>Temperatura interna de operación entre -20 °C y +50 °C.</t>
  </si>
  <si>
    <t>Es el rango de ciclado térmico del estándar QB50 usado para CubeSats [alainsat] y el rango de operación exigido a radios CubeSat de NASA [altunc]. No se hace análisis térmico (no exigido [proyecto]).</t>
  </si>
  <si>
    <t>S-10</t>
  </si>
  <si>
    <t>Altura útil de apilado interno de 95 mm.</t>
  </si>
  <si>
    <t>Una estructura 1U comercial ofrece un volumen interior de 98,4 mm de altura [spacemanic]; se reservan 3,4 mm para holguras y fijaciones. Condiciona la partición física (R-01).</t>
  </si>
  <si>
    <t>S-11</t>
  </si>
  <si>
    <t>Misión de 6 meses en LEO: componentes COTS de rango industrial con mitigación de efectos de evento único.</t>
  </si>
  <si>
    <t>Práctica usual en CubeSats; hay OBC Cortex-M7 comerciales probados hasta 40 krad, y las mitigaciones recomendadas son watchdog, ECC y reinicio de alimentación [soaav]. El proyecto no exige análisis de radiación [proyecto].</t>
  </si>
  <si>
    <t>S-12</t>
  </si>
  <si>
    <t>Registro entre bandas, corrección geométrica y calibración radiométrica se realizan en tierra.</t>
  </si>
  <si>
    <t>Libera al OBC de procesamiento de imagen complejo.</t>
  </si>
  <si>
    <t>S-13</t>
  </si>
  <si>
    <t>Para BER 10^-5: bajada UHF GMSK con detección coherente, E_b/N_0=9,6 dB; bajada S con QPSK y código convolucional (7,1/2), 4,1 dB; subida UHF, sensibilidad del receptor de -104 dBm (FSK, 9,6 kbps).</t>
  </si>
  <si>
    <t>MSK con detección coherente tiene el desempeño de BPSK y GMSK con BT=0,5 lo degrada poco [murota]; el código (7,1/2) gana ≈5,5 dB sobre el caso sin codificar (9,6 dB) [ccsds130]; la sensibilidad es la de un transceptor CubeSat comercial [trxvu]. Con 1 dB adicional de pérdida de implementación todos los márgenes siguen ≥3 dB.</t>
  </si>
  <si>
    <t>S-14</t>
  </si>
  <si>
    <t>Consumo de las radios: transmisor UHF 5,5 W a 30 dBm; transmisor S 5 W a 30 dBm; receptor UHF 0,24 W.</t>
  </si>
  <si>
    <t>Transceptores UHF comerciales consumen 3--5,5 W para 27--33 dBm (se toma el máximo) [pulsarvutrx] y &lt;0,24 W en recepción [pulsarutrx]; un transmisor S de 2,2--2,3 GHz con QPSK y 1 Mbps útiles con r=1/2 consume &lt;5 W a 30 dBm [pulsarstx].</t>
  </si>
  <si>
    <t>Tipo</t>
  </si>
  <si>
    <t>Requisito</t>
  </si>
  <si>
    <t>Origen / justificación</t>
  </si>
  <si>
    <t>Pr.</t>
  </si>
  <si>
    <t>Criterio de aceptación (método)</t>
  </si>
  <si>
    <t>Funcionales</t>
  </si>
  <si>
    <t>RF-02</t>
  </si>
  <si>
    <t>F</t>
  </si>
  <si>
    <t>El satélite deberá ejecutar sesiones de captura programadas desde tierra por tiempo y objetivo.</t>
  </si>
  <si>
    <t>ConOps; las zonas cafeteras solo son visibles en algunos pases.</t>
  </si>
  <si>
    <t>A</t>
  </si>
  <si>
    <t>Plan con 3 capturas ejecutado en banco con tiempo simulado, error de disparo ≤10 ms (D).</t>
  </si>
  <si>
    <t>RF-03</t>
  </si>
  <si>
    <t>El satélite deberá conservar imágenes y telemetría en memoria no volátil hasta confirmar su descarga.</t>
  </si>
  <si>
    <t>Contactos intermitentes (≈2,2 pases/día).</t>
  </si>
  <si>
    <t>Sin pérdida de archivos tras 10 cortes de energía durante escritura (P).</t>
  </si>
  <si>
    <t>RF-04</t>
  </si>
  <si>
    <t>El satélite deberá transmitir los datos de imagen a la estación de Medellín.</t>
  </si>
  <si>
    <t>Misión.</t>
  </si>
  <si>
    <t>Transferencia de extremo a extremo con atenuador que reproduce la pérdida de ET-12, tasa de error de trama &lt;10^-3 (P).</t>
  </si>
  <si>
    <t>RF-05</t>
  </si>
  <si>
    <t>El satélite deberá transmitir telemetría de tensiones, corrientes, temperaturas, modo y estado de subsistemas.</t>
  </si>
  <si>
    <t>Descripción del proyecto.</t>
  </si>
  <si>
    <t>Todas las variables de la lista de telemetría presentes en la baliza y en el volcado (D).</t>
  </si>
  <si>
    <t>RF-06</t>
  </si>
  <si>
    <t>El satélite deberá recibir, validar y ejecutar telecomandos y reportar su ejecución.</t>
  </si>
  <si>
    <t>100 % de comandos válidos ejecutados y reconocidos; comandos corruptos rechazados (P).</t>
  </si>
  <si>
    <t>RF-07</t>
  </si>
  <si>
    <t>El satélite deberá estimar su actitud.</t>
  </si>
  <si>
    <t>Apuntar cámara, antena y paneles.</t>
  </si>
  <si>
    <t>Sensores entregan datos a la tasa de ET-17; estimación verificada por simulación (A, P).</t>
  </si>
  <si>
    <t>RF-08</t>
  </si>
  <si>
    <t>El satélite deberá modificar su actitud para amortiguar la rotación, apuntar la cámara, apuntar la antena a la estación y exponer los paneles al Sol.</t>
  </si>
  <si>
    <t>Polaridad y par de actuadores medidos (P); desempeño por simulación (A).</t>
  </si>
  <si>
    <t>RF-09</t>
  </si>
  <si>
    <t>El satélite deberá generar energía solar y almacenarla para operar en eclipse.</t>
  </si>
  <si>
    <t>Carga de batería con simulador solar en rango de ET-19/20 (P).</t>
  </si>
  <si>
    <t>RF-10</t>
  </si>
  <si>
    <t>El satélite deberá permitir encender y apagar por comando cada subsistema no crítico.</t>
  </si>
  <si>
    <t>Gestión de energía y recuperación de fallas.</t>
  </si>
  <si>
    <t>Cada salida conmutada responde a comando (P).</t>
  </si>
  <si>
    <t>RF-11</t>
  </si>
  <si>
    <t>El satélite deberá proteger cada línea de alimentación contra sobrecorriente y restablecerla automáticamente.</t>
  </si>
  <si>
    <t>Latch-up por radiación [soaav]; ECSS-E-ST-20 §5.8.1d,e [ecss20].</t>
  </si>
  <si>
    <t>Corto inducido: disparo y reconexión en tiempos de ET-22 sin afectar otras líneas (P).</t>
  </si>
  <si>
    <t>RF-12</t>
  </si>
  <si>
    <t>El satélite deberá mantener la hora y estimar su posición orbital a bordo.</t>
  </si>
  <si>
    <t>Programar capturas y pases sin GNSS (S-04).</t>
  </si>
  <si>
    <t>M</t>
  </si>
  <si>
    <t>Error de hora dentro de RNF-13 (P); SGP4 comparado con referencia (A).</t>
  </si>
  <si>
    <t>RF-13</t>
  </si>
  <si>
    <t>El satélite deberá pasar autónomamente a modo seguro ante batería baja, bloqueo del OBC o 48 h sin comandos.</t>
  </si>
  <si>
    <t>Protección de la misión.</t>
  </si>
  <si>
    <t>Inyección de las tres fallas produce transición a modo seguro (D).</t>
  </si>
  <si>
    <t>RF-14</t>
  </si>
  <si>
    <t>El satélite deberá pasar de configuración de lanzamiento a operativa de forma autónoma tras la separación.</t>
  </si>
  <si>
    <t>Antena UHF plegada durante el lanzamiento.</t>
  </si>
  <si>
    <t>Secuencia completa en banco activando los interruptores de despliegue (D).</t>
  </si>
  <si>
    <t>No funcionales</t>
  </si>
  <si>
    <t>RNF-02</t>
  </si>
  <si>
    <t>NF</t>
  </si>
  <si>
    <t>El ancho de franja por banda deberá ser ≥50 km.</t>
  </si>
  <si>
    <t>Absorber el error de apuntamiento (19 km a 2°) y cubrir la región en un pase.</t>
  </si>
  <si>
    <t>Cálculo con número de columnas (A).</t>
  </si>
  <si>
    <t>RNF-03</t>
  </si>
  <si>
    <t>La resolución radiométrica deberá ser ≥10 bits.</t>
  </si>
  <si>
    <t>Diferencias pequeñas de reflectancia entre estados de vegetación.</t>
  </si>
  <si>
    <t>Hoja de datos del sensor (I).</t>
  </si>
  <si>
    <t>RNF-04</t>
  </si>
  <si>
    <t>El almacenamiento deberá guardar ≥7 días de capturas nominales sin descarga.</t>
  </si>
  <si>
    <t>Pérdida de pases o indisponibilidad de la estación.</t>
  </si>
  <si>
    <t>Capacidad útil ≥ ET-08 (A, I).</t>
  </si>
  <si>
    <t>RNF-05</t>
  </si>
  <si>
    <t>El sistema deberá descargar el volumen de una sesión en ≤2 días de contactos.</t>
  </si>
  <si>
    <t>Equilibrio entre generación y descarga de datos (MOE-2).</t>
  </si>
  <si>
    <t>Presupuesto de enlace y contactos (A).</t>
  </si>
  <si>
    <t>RNF-06</t>
  </si>
  <si>
    <t>Todos los enlaces deberán tener margen ≥3 dB a 10° de elevación.</t>
  </si>
  <si>
    <t>Margen estándar de enlace usado por NASA para CubeSats [altunc].</t>
  </si>
  <si>
    <t>Presupuesto de enlace (A).</t>
  </si>
  <si>
    <t>El error de apuntamiento de la cámara deberá ser ≤2° (3σ) durante la captura.</t>
  </si>
  <si>
    <t>Desplazamiento ≤19 km, menor que media franja.</t>
  </si>
  <si>
    <t>Simulación ADCS con sensores de ET-17 (A).</t>
  </si>
  <si>
    <t>RNF-08</t>
  </si>
  <si>
    <t>La estabilidad angular durante la captura deberá ser ≤0,04 °/s.</t>
  </si>
  <si>
    <t>Cizalla por lectura rolling &lt; GSD/2 (Ec. est).</t>
  </si>
  <si>
    <t>Simulación ADCS (A).</t>
  </si>
  <si>
    <t>RNF-09</t>
  </si>
  <si>
    <t>El balance de energía diario deberá ser positivo con margen de 20 % sobre el consumo en el perfil de peor caso.</t>
  </si>
  <si>
    <t>Viabilidad energética.</t>
  </si>
  <si>
    <t>Presupuesto de potencia (A).</t>
  </si>
  <si>
    <t>RNF-10</t>
  </si>
  <si>
    <t>La profundidad de descarga de la batería deberá ser ≤20 % en la órbita de peor caso.</t>
  </si>
  <si>
    <t>≈2750 ciclos en 6 meses.</t>
  </si>
  <si>
    <t>Presupuesto (A); ciclo de carga en banco (P).</t>
  </si>
  <si>
    <t>RNF-11</t>
  </si>
  <si>
    <t>El satélite deberá cumplir sus funciones durante al menos 6 meses.</t>
  </si>
  <si>
    <t>Supuesto obligatorio de la misión.</t>
  </si>
  <si>
    <t>Degradación de paneles y ciclos de batería incluidos en los presupuestos (A).</t>
  </si>
  <si>
    <t>RNF-12</t>
  </si>
  <si>
    <t>El procesamiento deberá ejecutar el control de actitud a ≥10 Hz con carga de CPU ≤70 % durante la captura y comprimir una sesión antes del siguiente contacto.</t>
  </si>
  <si>
    <t>Margen para el software futuro [soaav].</t>
  </si>
  <si>
    <t>Estimación (A) y medición en tarjeta de evaluación (P).</t>
  </si>
  <si>
    <t>RNF-13</t>
  </si>
  <si>
    <t>El error de la hora a bordo deberá ser ≤0,5 s entre sincronizaciones.</t>
  </si>
  <si>
    <t>1 s de error equivale a 7 km a lo largo de la traza.</t>
  </si>
  <si>
    <t>Deriva medida en 48 h (P).</t>
  </si>
  <si>
    <t>RNF-14</t>
  </si>
  <si>
    <t>Un supervisor independiente deberá reiniciar el OBC en ≤30 s si deja de responder.</t>
  </si>
  <si>
    <t>El OBC es un punto único de falla.</t>
  </si>
  <si>
    <t>Bloqueo forzado del OBC (P).</t>
  </si>
  <si>
    <t>RNF-15</t>
  </si>
  <si>
    <t>Cada PCB deberá poder alimentarse, programarse y probarse de forma independiente.</t>
  </si>
  <si>
    <t>Integración y prueba (Práctica 6).</t>
  </si>
  <si>
    <t>Prueba de cada tarjeta aislada con fuente de banco (D).</t>
  </si>
  <si>
    <t>Ambientales</t>
  </si>
  <si>
    <t>RA-02</t>
  </si>
  <si>
    <t>Am</t>
  </si>
  <si>
    <t>El hardware deberá disipar su calor sin convección.</t>
  </si>
  <si>
    <t>Vacío.</t>
  </si>
  <si>
    <t>Elementos &gt;0,5 W con camino térmico a estructura (A, I).</t>
  </si>
  <si>
    <t>RA-03</t>
  </si>
  <si>
    <t>El hardware deberá tolerar SEL y SEU sin pérdida permanente de funciones durante la misión.</t>
  </si>
  <si>
    <t>Radiación en LEO; SEL destructivo en COTS [soaav].</t>
  </si>
  <si>
    <t>Mitigaciones de ET-22 y ET-24 implementadas (I); prueba de corto inducido (P).</t>
  </si>
  <si>
    <t>RA-04</t>
  </si>
  <si>
    <t>El hardware deberá soportar la vibración y el choque del lanzamiento.</t>
  </si>
  <si>
    <t>CDS §3.1, §3.3 [cds].</t>
  </si>
  <si>
    <t>Niveles del proveedor o GEVS; en el curso: sujeción de componentes pesados (I).</t>
  </si>
  <si>
    <t>RA-05</t>
  </si>
  <si>
    <t>Las emisiones internas no deberán degradar la sensibilidad del receptor UHF más de 1 dB.</t>
  </si>
  <si>
    <t>Pequeño frente al margen UHF (12,4 dB). ECSS-E-ST-20-07 [ecssemc].</t>
  </si>
  <si>
    <t>Piso de ruido con todos los subsistemas encendidos (P).</t>
  </si>
  <si>
    <t>Normativos</t>
  </si>
  <si>
    <t>RN-02</t>
  </si>
  <si>
    <t>N</t>
  </si>
  <si>
    <t>Masa ≤2,00 kg y centro de masa a ±2 cm del centro geométrico.</t>
  </si>
  <si>
    <t>CDS §2.2.10, §2.2.11.</t>
  </si>
  <si>
    <t>Pesaje y cálculo de CG (I, A).</t>
  </si>
  <si>
    <t>RN-03</t>
  </si>
  <si>
    <t>Energía cortada desde la entrega hasta el despliegue por interruptor(es) de despliegue y pin RBF; reinicio a estado de prelanzamiento si el interruptor conmuta.</t>
  </si>
  <si>
    <t>CDS §2.3.1, §2.3.2, §2.3.5.</t>
  </si>
  <si>
    <t>Prueba de continuidad y de secuencia (P).</t>
  </si>
  <si>
    <t>RN-04</t>
  </si>
  <si>
    <t>Tres inhibidores independientes de RF y ninguna emisión antes de 45 min.</t>
  </si>
  <si>
    <t>CDS §2.3.7, §2.4.5.</t>
  </si>
  <si>
    <t>Inspección del esquema y prueba de temporización (I, P).</t>
  </si>
  <si>
    <t>RN-05</t>
  </si>
  <si>
    <t>Tres inhibidores para elementos desplegables y espera ≥30 min.</t>
  </si>
  <si>
    <t>CDS §2.3.8, §2.4.4.</t>
  </si>
  <si>
    <t>Inspección y prueba (I, P).</t>
  </si>
  <si>
    <t>RN-06</t>
  </si>
  <si>
    <t>Protección de carga y descarga de la batería contra celdas desbalanceadas.</t>
  </si>
  <si>
    <t>CDS §2.3.6.</t>
  </si>
  <si>
    <t>Prueba de protección (P).</t>
  </si>
  <si>
    <t>RN-07</t>
  </si>
  <si>
    <t>Uso de frecuencias con licencia o coordinación (UIT, ANE; IARU para aficionados).</t>
  </si>
  <si>
    <t>CDS §2.4.1, §2.4.2; [soacom].</t>
  </si>
  <si>
    <t>Trámite documentado (I).</t>
  </si>
  <si>
    <t>RN-08</t>
  </si>
  <si>
    <t>Materiales con TML ≤1 % y CVCM ≤0,1 %.</t>
  </si>
  <si>
    <t>CDS §2.1.7.</t>
  </si>
  <si>
    <t>Lista de materiales contra base NASA (I).</t>
  </si>
  <si>
    <t>RN-09</t>
  </si>
  <si>
    <t>Mitigación de desechos: componentes que reingresen con &lt;15 J.</t>
  </si>
  <si>
    <t>CDS §2.4.3.</t>
  </si>
  <si>
    <t>Análisis con DAS (A).</t>
  </si>
  <si>
    <t>RN-10</t>
  </si>
  <si>
    <t>Diseño eléctrico y de PCB conforme, como guía, a ECSS-E-ST-20C, ECSS-E-ST-20-07C y ECSS-Q-ST-70-12C.</t>
  </si>
  <si>
    <t>Buenas prácticas [ecss20,ecssemc,ecsspcb].</t>
  </si>
  <si>
    <t>Lista de verificación en revisión de diseño (I).</t>
  </si>
  <si>
    <t>Requisitos</t>
  </si>
  <si>
    <t>Valor / rango (unidad)</t>
  </si>
  <si>
    <t>Fundamento</t>
  </si>
  <si>
    <t>Verificación</t>
  </si>
  <si>
    <t>ET-01</t>
  </si>
  <si>
    <t>Bandas (centro/ancho)</t>
  </si>
  <si>
    <t>560/35, 665/30, 705/15, 842/115 nm</t>
  </si>
  <si>
    <t>Bandas visibles e infrarrojas para vegetación [proyecto]. Centros y anchos iguales a las bandas B3, B4, B5 y B8 de Sentinel-2 [s2bands,s2hub], lo que permite comparar los índices con ese sensor: verde, rojo (absorción de la clorofila), borde rojo y NIR.</t>
  </si>
  <si>
    <t>I (filtro)</t>
  </si>
  <si>
    <t>Cuantización</t>
  </si>
  <si>
    <t>12 bits</t>
  </si>
  <si>
    <t>Supera el mínimo de 10 bits; ADC de 12 bits del sensor de referencia [mt9p031].</t>
  </si>
  <si>
    <t>I</t>
  </si>
  <si>
    <t>ET-03</t>
  </si>
  <si>
    <t>RNF-01</t>
  </si>
  <si>
    <t>GSD nadir</t>
  </si>
  <si>
    <t>48,4 m (±1 m por tolerancia de focal ±2 %)</t>
  </si>
  <si>
    <t>Ec. gsd.</t>
  </si>
  <si>
    <t>Franja</t>
  </si>
  <si>
    <t>62,7 km (1296 columnas)</t>
  </si>
  <si>
    <t>1296×GSD; margen de 25 %.</t>
  </si>
  <si>
    <t>RF-01, RF-02</t>
  </si>
  <si>
    <t>Toma</t>
  </si>
  <si>
    <t>1296×1944 px, 4 franjas de 486 filas, 3,78 MB</t>
  </si>
  <si>
    <t>Sensor de 2592×1944 px de 2,2 µm con lectura por ventana [mt9p031]; 12 bits empaquetados.</t>
  </si>
  <si>
    <t>RF-02, RNF-01</t>
  </si>
  <si>
    <t>Exposición / intervalo / sesión</t>
  </si>
  <si>
    <t>≤3,5 ms / 3 s / 26 tomas (≈75 s)</t>
  </si>
  <si>
    <t>Ec. exp; avance 20,9 km &lt; franja de banda 23,5 km (11 % traslape).</t>
  </si>
  <si>
    <t>A, D</t>
  </si>
  <si>
    <t>Interfaz de la cámara</t>
  </si>
  <si>
    <t>Paralela 12 bits, PIXCLK ≤48 MHz, HSYNC/VSYNC; configuración I2C</t>
  </si>
  <si>
    <t>48 Mp/s con E/S de 1,8 V [mt9p031]; 96 MB/s por DMA a SDRAM; lectura 52 ms.</t>
  </si>
  <si>
    <t>P</t>
  </si>
  <si>
    <t>ET-08</t>
  </si>
  <si>
    <t>RF-03, RNF-04</t>
  </si>
  <si>
    <t>Almacenamiento masivo</t>
  </si>
  <si>
    <t>≥1 GB útil, no volátil con ECC</t>
  </si>
  <si>
    <t>7 días × 49 MB + telemetría = 347 MB, margen ×3 (bloques dañados, copias).</t>
  </si>
  <si>
    <t>ET-09</t>
  </si>
  <si>
    <t>RAM de trabajo externa</t>
  </si>
  <si>
    <t>≥16 MB (se elige 32 MB, 16 bits)</t>
  </si>
  <si>
    <t>3 tomas de 5,04 MB en palabras de 16 bits (doble búfer + compresión).</t>
  </si>
  <si>
    <t>Capacidad de CPU</t>
  </si>
  <si>
    <t>≥400 MHz clase Cortex-M7 con FPU; carga en captura ≈10 %; compresión de una sesión ≤3 min</t>
  </si>
  <si>
    <t>S-06: 700×1296×1944 ciclos = 4,4 s/toma, 26 tomas en ≈2 min en segundo plano; ADCS y C&amp;DH con 10 % reservado (≈85 de 856 DMIPS a 400 MHz [stm32]).</t>
  </si>
  <si>
    <t>A, P</t>
  </si>
  <si>
    <t>ET-11</t>
  </si>
  <si>
    <t>RNF-12, RNF-14</t>
  </si>
  <si>
    <t>Memoria de programa</t>
  </si>
  <si>
    <t>≥1 MB con ECC + 2 imágenes de arranque</t>
  </si>
  <si>
    <t>Dos imágenes de arranque (RNF-14); MCU de referencia con 2 MB de flash y 1 MB de RAM [stm32].</t>
  </si>
  <si>
    <t>RF-04, RNF-05/06</t>
  </si>
  <si>
    <t>Enlace de datos</t>
  </si>
  <si>
    <t>2200--2290 MHz, 1 Mbps, QPSK + FEC r=1/2, 30 dBm; margen 4,8 dB</t>
  </si>
  <si>
    <t>Ec. link, Tabla link; transmisores S de 27--33 dBm en 2200--2290 MHz y parches de 6 dBi (Tablas 9-2 y 9-3) [soacom,pulsarstx].</t>
  </si>
  <si>
    <t>ET-13</t>
  </si>
  <si>
    <t>RF-05/06, RNF-06</t>
  </si>
  <si>
    <t>Enlace TT&amp;C</t>
  </si>
  <si>
    <t>435--438 MHz, semidúplex, 9,6 kbps (bajada GMSK, subida FSK), 30 dBm; márgenes 12,4 dB (bajada) y 12,7 dB (subida)</t>
  </si>
  <si>
    <t>Tabla link; transceptores UHF de 27--33 dBm a 9,6 kbps (Tabla 9-3) [soacom,pulsarutrx].</t>
  </si>
  <si>
    <t>Volumen descargable</t>
  </si>
  <si>
    <t>≥49 MB/día (50 % de contactos útiles)</t>
  </si>
  <si>
    <t>Una sesión en 7,7 min de banda S; 4 sesiones/semana usan 57 %.</t>
  </si>
  <si>
    <t>ET-15</t>
  </si>
  <si>
    <t>Apuntamiento</t>
  </si>
  <si>
    <t>≤2° (3σ); conocimiento ≤1°; hasta 30° fuera de nadir</t>
  </si>
  <si>
    <t>Ec. geométrica H; seguimiento de estación a ≤0,8 °/s.</t>
  </si>
  <si>
    <t>ET-16</t>
  </si>
  <si>
    <t>RNF-08, RF-08</t>
  </si>
  <si>
    <t>Estabilidad y actuación fina</t>
  </si>
  <si>
    <t>≤0,04 °/s; 3 ruedas con ≥0,5 mNms c/u</t>
  </si>
  <si>
    <t>Ec. est. Seguimiento requiere I=0,03 mNms (I≈0,002 kg·m²): margen &gt;10. Ruedas de 0,58 mNms, ≤25 g (Tabla 5-3) [soagnc].</t>
  </si>
  <si>
    <t>ET-17</t>
  </si>
  <si>
    <t>Sensores de actitud</t>
  </si>
  <si>
    <t>Magnetómetro y giróscopo 3 ejes a ≥10 Hz; sensores solares en 4 caras, ≤1°</t>
  </si>
  <si>
    <t>Las capturas ocurren siempre con Sol: Sol + campo magnético dan actitud 3 ejes. Hay sensores solares analógicos de 0,2° sin consumo y magnetómetros de 0,01--0,23 W (Tablas 5-6 y 5-7) [soagnc].</t>
  </si>
  <si>
    <t>ET-18</t>
  </si>
  <si>
    <t>Magnetorquers</t>
  </si>
  <si>
    <t>3 ejes, ≥0,2 A·m²</t>
  </si>
  <si>
    <t>Par mB=6 µN·m (B≈30 µT); frena 10°/s en &lt;1 órbita. Existen de 0,2 A m², 16,5 g, 0,49 W (Tabla 5-4) [soagnc].</t>
  </si>
  <si>
    <t>ET-19</t>
  </si>
  <si>
    <t>RF-09, RNF-09</t>
  </si>
  <si>
    <t>Generación</t>
  </si>
  <si>
    <t>4 caras × 2 celdas TJ ≥29,5 %: 2,42 W/cara BOL; 1,51 W promedio EOL</t>
  </si>
  <si>
    <t>Ec. pgen; 3G30-Adv, 29,5 % (Tabla 3-1) [soapwr].</t>
  </si>
  <si>
    <t>ET-20</t>
  </si>
  <si>
    <t>RF-09, RNF-10</t>
  </si>
  <si>
    <t>Batería</t>
  </si>
  <si>
    <t>Li-ion 2S1P (18650), 6,0--8,4 V, ≥23 Wh; DoD peor órbita 11 %</t>
  </si>
  <si>
    <t>Eclipse + déficit de peor órbita = 2,6 Wh; NCR18650B de 3350 mAh (Tabla 3-4) [soapwr] ⇒ 24,1 Wh.</t>
  </si>
  <si>
    <t>ET-21</t>
  </si>
  <si>
    <t>Rieles</t>
  </si>
  <si>
    <t>VBAT 6,0--8,4 V; 5,0 V ±3 % ≥1,2 A; 3,3 V ±3 % ≥1,0 A; rizado ≤30 mV_pp</t>
  </si>
  <si>
    <t>Cargas pico 5 V: 0,58 A; 3,3 V: 0,45 A; factor 2. Radios en VBAT.</t>
  </si>
  <si>
    <t>ET-22</t>
  </si>
  <si>
    <t>RF-11, RA-03</t>
  </si>
  <si>
    <t>Limitadores (LCL)</t>
  </si>
  <si>
    <t>Uno por carga; umbral 1,3--1,5× I_max; disparo ≤1 ms; reconexión automática tras 100 ms</t>
  </si>
  <si>
    <t>ECSS-E-ST-20 §5.8.1d (protección en la fuente) y §5.8.1e (sin desconexión permanente por SEE) [ecss20].</t>
  </si>
  <si>
    <t>ET-23</t>
  </si>
  <si>
    <t>RF-12, RNF-13</t>
  </si>
  <si>
    <t>Base de tiempo</t>
  </si>
  <si>
    <t>RTC con TCXO ≤2 ppm; sincronización ≤ cada 48 h</t>
  </si>
  <si>
    <t>Deriva máx. 0,35 s en 48 h.</t>
  </si>
  <si>
    <t>ET-24</t>
  </si>
  <si>
    <t>RNF-14, RF-13</t>
  </si>
  <si>
    <t>Supervisión</t>
  </si>
  <si>
    <t>Latido I2C OBC→EPS cada ≤10 s; EPS reinicia el OBC a los 30 s; watchdog interno del MCU</t>
  </si>
  <si>
    <t>Supervisor en otra tarjeta y otro dominio de energía [soaav].</t>
  </si>
  <si>
    <t>ET-25</t>
  </si>
  <si>
    <t>RN-03/04/05</t>
  </si>
  <si>
    <t>Inhibidores</t>
  </si>
  <si>
    <t>2 interruptores de despliegue (lado alto y bajo) + RBF; interruptor FET dedicado en radios y en quemador de antena</t>
  </si>
  <si>
    <t>Tres dispositivos físicos por riesgo; el temporizador no cuenta como inhibidor [cds].</t>
  </si>
  <si>
    <t>I, P</t>
  </si>
  <si>
    <t>ET-26</t>
  </si>
  <si>
    <t>RN-01/02</t>
  </si>
  <si>
    <t>Envolvente y masa</t>
  </si>
  <si>
    <t>100×100×113,5 mm; masa estimada 1,29 kg con 20 % de margen</t>
  </si>
  <si>
    <t>Tabla pot.</t>
  </si>
  <si>
    <t>ET-27</t>
  </si>
  <si>
    <t>RA-01</t>
  </si>
  <si>
    <t>Rangos térmicos</t>
  </si>
  <si>
    <t>Componentes ≥-40/+85 °C; carga de batería solo entre 0 y 45 °C; calentador activo &lt;5 °C</t>
  </si>
  <si>
    <t>Rango industrial cubre S-09; límites típicos de carga Li-ion [soapwr].</t>
  </si>
  <si>
    <t>I, A</t>
  </si>
  <si>
    <t>ET-28</t>
  </si>
  <si>
    <t>EMC de convertidores</t>
  </si>
  <si>
    <t>Frecuencia de conmutación fija y sincronizable ≥500 kHz; COM con blindaje y plano de tierra continuo</t>
  </si>
  <si>
    <t>Evita espurias variables en la banda de 437 MHz; ECSS-E-ST-20-07 [ecssemc].</t>
  </si>
  <si>
    <t>Req.</t>
  </si>
  <si>
    <t>ET</t>
  </si>
  <si>
    <t>Bloque</t>
  </si>
  <si>
    <t>01, 05, 07</t>
  </si>
  <si>
    <t>P4, P2</t>
  </si>
  <si>
    <t>12, 13</t>
  </si>
  <si>
    <t>P3, antenas</t>
  </si>
  <si>
    <t>05, 06</t>
  </si>
  <si>
    <t>P2, P4</t>
  </si>
  <si>
    <t>15, 17</t>
  </si>
  <si>
    <t>P2, ruedas</t>
  </si>
  <si>
    <t>08</t>
  </si>
  <si>
    <t>P2</t>
  </si>
  <si>
    <t>16</t>
  </si>
  <si>
    <t>12</t>
  </si>
  <si>
    <t>P3, parche S</t>
  </si>
  <si>
    <t>19, 21</t>
  </si>
  <si>
    <t>P1, paneles</t>
  </si>
  <si>
    <t>13</t>
  </si>
  <si>
    <t>P3, P2</t>
  </si>
  <si>
    <t>20</t>
  </si>
  <si>
    <t>P1</t>
  </si>
  <si>
    <t>19, 20, 22</t>
  </si>
  <si>
    <t>Sistema</t>
  </si>
  <si>
    <t>17</t>
  </si>
  <si>
    <t>P2, paneles</t>
  </si>
  <si>
    <t>09, 10, 11</t>
  </si>
  <si>
    <t>15, 16, 18</t>
  </si>
  <si>
    <t>P2, ruedas, MTQ</t>
  </si>
  <si>
    <t>23</t>
  </si>
  <si>
    <t>19, 20</t>
  </si>
  <si>
    <t>24</t>
  </si>
  <si>
    <t>P1, P2</t>
  </si>
  <si>
    <t>21</t>
  </si>
  <si>
    <t>Tabla if (IF14)</t>
  </si>
  <si>
    <t>Todas</t>
  </si>
  <si>
    <t>22</t>
  </si>
  <si>
    <t>27</t>
  </si>
  <si>
    <t>26, 28</t>
  </si>
  <si>
    <t>22, 24</t>
  </si>
  <si>
    <t>25</t>
  </si>
  <si>
    <t>P1, antena</t>
  </si>
  <si>
    <t>RA-04, RN-01, RN-02</t>
  </si>
  <si>
    <t>26</t>
  </si>
  <si>
    <t>Estructura</t>
  </si>
  <si>
    <t>03</t>
  </si>
  <si>
    <t>P4</t>
  </si>
  <si>
    <t>28</t>
  </si>
  <si>
    <t>P1, P3</t>
  </si>
  <si>
    <t>04</t>
  </si>
  <si>
    <t>RN-03 a RN-06</t>
  </si>
  <si>
    <t>20, 25</t>
  </si>
  <si>
    <t>02</t>
  </si>
  <si>
    <t>21, 22, 28</t>
  </si>
  <si>
    <t>RNF-04, 05</t>
  </si>
  <si>
    <t>08, 14</t>
  </si>
  <si>
    <t>P2, P3</t>
  </si>
  <si>
    <t>RN-07, 08, 09</t>
  </si>
  <si>
    <t>-- (documental)</t>
  </si>
  <si>
    <t>Proyecto</t>
  </si>
  <si>
    <t>Función</t>
  </si>
  <si>
    <t>Recursos de hardware</t>
  </si>
  <si>
    <t>Responsabilidad del software futuro</t>
  </si>
  <si>
    <t>Justificación</t>
  </si>
  <si>
    <t>Generación y carga</t>
  </si>
  <si>
    <t>HW</t>
  </si>
  <si>
    <t>MPPT por cara, cargador 2S con balanceo, protección OV/UV/OC</t>
  </si>
  <si>
    <t>Solo leer telemetría y ajustar consignas</t>
  </si>
  <si>
    <t>Debe operar sin OBC (modo seguro, arranque).</t>
  </si>
  <si>
    <t>Distribución y protección</t>
  </si>
  <si>
    <t>Mixta</t>
  </si>
  <si>
    <t>LCL con reconexión automática, sensores de corriente, interruptores de carga</t>
  </si>
  <si>
    <t>Encender/apagar cargas, registrar eventos de disparo</t>
  </si>
  <si>
    <t>La protección es HW (tiempo de µs--ms); la política es SW.</t>
  </si>
  <si>
    <t>Supervisión y modos (FDIR)</t>
  </si>
  <si>
    <t>Watchdog interno + watchdog en EPS, contador de reinicios</t>
  </si>
  <si>
    <t>Máquina de estados de modos, detección de fallas, paso a modo seguro</t>
  </si>
  <si>
    <t>Evita que un SEU deje el satélite bloqueado.</t>
  </si>
  <si>
    <t>TT&amp;C</t>
  </si>
  <si>
    <t>Transceptor UHF, antena, UART</t>
  </si>
  <si>
    <t>Tramas AX.25/CCSDS, validación, cola de comandos, balizas</t>
  </si>
  <si>
    <t>Radio integrada; protocolo cambiante en SW.</t>
  </si>
  <si>
    <t>Captura de imagen</t>
  </si>
  <si>
    <t>Sensor, lente, filtro, interfaz paralela + DMA, SDRAM, temporizador de disparo</t>
  </si>
  <si>
    <t>Configurar exposición y ganancia, planificar, marcar tiempo</t>
  </si>
  <si>
    <t>El flujo de 96 MB/s solo es posible por DMA; el disparo usa temporizador HW.</t>
  </si>
  <si>
    <t>Compresión y archivo</t>
  </si>
  <si>
    <t>SW</t>
  </si>
  <si>
    <t>CPU con FPU, SDRAM, eMMC</t>
  </si>
  <si>
    <t>Compresión sin pérdidas, catálogo, sistema de archivos con registro, miniaturas</t>
  </si>
  <si>
    <t>≈2 min por sesión en segundo plano; evita un procesador dedicado.</t>
  </si>
  <si>
    <t>Descarga de imágenes</t>
  </si>
  <si>
    <t>Transmisor S, parche, SPI</t>
  </si>
  <si>
    <t>Segmentar, entramar (CCSDS TM), retransmisión selectiva, programar pases</t>
  </si>
  <si>
    <t>Tasa fija en HW; gestión de archivos en SW.</t>
  </si>
  <si>
    <t>Determinación de actitud</t>
  </si>
  <si>
    <t>IMU, magnetómetro, sensores solares, ADC</t>
  </si>
  <si>
    <t>Filtro de estimación, modelos de campo (IGRF) y Sol</t>
  </si>
  <si>
    <t>Algoritmos no se implementan; HW entrega datos a ≥10 Hz.</t>
  </si>
  <si>
    <t>Control de actitud</t>
  </si>
  <si>
    <t>Puentes H + bobinas, 3 ruedas con controlador propio</t>
  </si>
  <si>
    <t>B-dot, apuntamiento, seguimiento de estación, desaturación</t>
  </si>
  <si>
    <t>Lazo a 10 Hz en OBC; control de velocidad de ruedas local.</t>
  </si>
  <si>
    <t>Tiempo y órbita</t>
  </si>
  <si>
    <t>RTC con TCXO y respaldo</t>
  </si>
  <si>
    <t>SGP4, sincronización con tierra</t>
  </si>
  <si>
    <t>Sin GNSS (S-04).</t>
  </si>
  <si>
    <t>Térmico de batería</t>
  </si>
  <si>
    <t>HW + SW</t>
  </si>
  <si>
    <t>Calentador y termostato HW, NTC</t>
  </si>
  <si>
    <t>Ajustar consigna y leer temperatura</t>
  </si>
  <si>
    <t>Carga segura aun sin OBC.</t>
  </si>
  <si>
    <t>Secuencia post-despliegue</t>
  </si>
  <si>
    <t>Interruptores de despliegue, RBF, FET del quemador</t>
  </si>
  <si>
    <t>Temporizadores 30/45 min, verificación de despliegue</t>
  </si>
  <si>
    <t>Los inhibidores son físicos (CDS).</t>
  </si>
  <si>
    <t>Recurso</t>
  </si>
  <si>
    <t>Necesidad derivada de las funciones</t>
  </si>
  <si>
    <t>Especificación resultante</t>
  </si>
  <si>
    <t>Procesamiento</t>
  </si>
  <si>
    <t>Compresión diferida de 4,4 s/toma, ≈2 min/sesión (S-06); ADCS a 10 Hz, SGP4 a 1 Hz, C&amp;DH y protocolos dentro del 10 % reservado.</t>
  </si>
  <si>
    <t>Cortex-M7 ≥400 MHz con FPU (ET-10); carga en captura ≈10 %.</t>
  </si>
  <si>
    <t>RAM</t>
  </si>
  <si>
    <t>Búfer de tomas (5,04 MB c/u), pila RTOS, filtros ADCS (&lt;256 kB).</t>
  </si>
  <si>
    <t>1 MB interna con ECC + 32 MB SDRAM (ET-09).</t>
  </si>
  <si>
    <t>RTOS + aplicación + 2 imágenes de arranque.</t>
  </si>
  <si>
    <t>≥1 MB interna con ECC + NOR/MRAM externa (ET-11).</t>
  </si>
  <si>
    <t>Almacenamiento</t>
  </si>
  <si>
    <t>7 días de capturas y telemetría = 347 MB.</t>
  </si>
  <si>
    <t>eMMC ≥1 GB útil (ET-08).</t>
  </si>
  <si>
    <t>Interfaces</t>
  </si>
  <si>
    <t>Cámara paralela; SDRAM; eMMC; 2 buses I2C (EPS / sensores separados); UART UHF; SPI banda S y SPI IMU; UART ruedas; 6 PWM; ≥6 ADC; ≈20 GPIO.</t>
  </si>
  <si>
    <t>MCU con interfaz de cámara paralela, controlador de memoria externa (SDRAM a 100 MHz), SDMMC y Quad-SPI [stm32]; hay OBC Cortex-M7 de 0,28--0,65 W (Tabla 8-4) [soaav].</t>
  </si>
  <si>
    <t>Temporización</t>
  </si>
  <si>
    <t>ADCS 10 Hz; telemetría 1 Hz (registro cada 60 s); baliza cada 30 s; disparo cada 3 s ±1 ms; PIXCLK 48 MHz; SDRAM 100 MHz.</t>
  </si>
  <si>
    <t>Temporizadores HW para disparo y PWM; RTC para tiempo absoluto.</t>
  </si>
  <si>
    <t>Decisión</t>
  </si>
  <si>
    <t>Opción A</t>
  </si>
  <si>
    <t>Opción B</t>
  </si>
  <si>
    <t>Resultado y razón</t>
  </si>
  <si>
    <t>D1 Procesamiento</t>
  </si>
  <si>
    <t>Centralizado: un MCU Cortex-M7 hace C&amp;DH, ADCS, cámara y compresión.</t>
  </si>
  <si>
    <t>Distribuido: OBC de bajo consumo + procesador de carga útil (SoC ARM+FPGA con Linux y DDR3) + MCU de ADCS.</t>
  </si>
  <si>
    <t>A. La compresión cabe en el MCU (≈2 min por sesión, en segundo plano); B añade varios vatios al procesar (hasta 6 W en unidades de la Tabla 8-4 [soaav]), una tarjeta y enrutamiento DDR3.</t>
  </si>
  <si>
    <t>D2 División en PCBs</t>
  </si>
  <si>
    <t>4 tarjetas: EPS, OBC-ADCS, COM, cabezal de cámara.</t>
  </si>
  <si>
    <t>3 tarjetas: EPS, aviónica integrada (OBC+ADCS+radios), cabezal de cámara.</t>
  </si>
  <si>
    <t>A. Aísla el PA de banda S (1 W) del magnetómetro y del receptor UHF, y permite probar radios por separado; cuesta ≈13 mm de altura (cabe, Tabla vol).</t>
  </si>
  <si>
    <t>D3 Comunicación interna</t>
  </si>
  <si>
    <t>I2C para control/telemetría + enlaces dedicados (paralelo, SPI, UART) para datos.</t>
  </si>
  <si>
    <t>Bus CAN común a todas las tarjetas.</t>
  </si>
  <si>
    <t>A. Menos componentes y consumo; el riesgo de bloqueo de I2C se mitiga con dos buses separados, recuperación de bus y reinicio por LCL.</t>
  </si>
  <si>
    <t>D4 Integración de la carga útil</t>
  </si>
  <si>
    <t>Cámara integrada: el sensor entrega píxeles directamente al OBC.</t>
  </si>
  <si>
    <t>Módulo de cámara comercial con procesador y memoria propios (USB/SpaceWire).</t>
  </si>
  <si>
    <t>A. Menos volumen y potencia; control directo de temporización. B facilita integración pero pocos módulos 1U multiespectrales y costosos.</t>
  </si>
  <si>
    <t>D5 Potencia</t>
  </si>
  <si>
    <t>MPPT por cara + bus de batería 2S no regulado + convertidores conmutados en punto de carga.</t>
  </si>
  <si>
    <t>Transferencia directa de energía (DET) + bus regulado único de 5 V.</t>
  </si>
  <si>
    <t>A. El punto de máxima potencia cambia con la temperatura de cada cara; el MPPT recupera esa pérdida y el bus no regulado alimenta radios con alta eficiencia.</t>
  </si>
  <si>
    <t>D6 Paneles</t>
  </si>
  <si>
    <t>Fijos en 4 caras laterales.</t>
  </si>
  <si>
    <t>Desplegables (2--4 alas).</t>
  </si>
  <si>
    <t>A. El balance es positivo con paneles fijos (Tabla pot); B requiere mecanismos y 3 inhibidores más.</t>
  </si>
  <si>
    <t>D7 Enlaces con tierra</t>
  </si>
  <si>
    <t>UHF (TT&amp;C) + banda S (imágenes).</t>
  </si>
  <si>
    <t>Solo UHF.</t>
  </si>
  <si>
    <t>A. UHF descarga ≈444 kB/día frente a 49 MB por sesión: B incumple RF-04/RNF-05.</t>
  </si>
  <si>
    <t>D8 ADCS</t>
  </si>
  <si>
    <t>Magnetorquers + 3 ruedas; sensores solares, magnetómetro, giróscopo.</t>
  </si>
  <si>
    <t>Solo magnetorquers con los mismos sensores (o con rastreador estelar).</t>
  </si>
  <si>
    <t>A. Los magnetorquers solos no suelen lograr estabilización en tres ejes [soagnc], que la captura (RNF-07/08) y el apuntamiento de la antena S exigen; un rastreador estelar (0,65 W o más, Tabla 5-5) no es necesario para 2°.</t>
  </si>
  <si>
    <t>Criterio</t>
  </si>
  <si>
    <t>Peso</t>
  </si>
  <si>
    <t>B</t>
  </si>
  <si>
    <t>Peso (sensib.)</t>
  </si>
  <si>
    <t>Consumo de energía</t>
  </si>
  <si>
    <t>A: MCU ≈0,35 W. B: procesador de carga útil de hasta 6 W al procesar, aunque se apague el resto del tiempo (Tabla 8-4) [soaav].</t>
  </si>
  <si>
    <t>Volumen y masa</t>
  </si>
  <si>
    <t>B agrega una tarjeta (≈12 mm): excede la altura disponible (S-10).</t>
  </si>
  <si>
    <t>Capacidad de procesamiento</t>
  </si>
  <si>
    <t>A cumple (captura con ≈10 % de CPU y compresión de una sesión en ≈2 min); B permite procesamiento avanzado (p. ej., detección de nubes) no exigido.</t>
  </si>
  <si>
    <t>Complejidad y riesgo técnico</t>
  </si>
  <si>
    <t>B: DDR3, secuencia de encendido del SoC, Linux y tres firmwares.</t>
  </si>
  <si>
    <t>Integración y prueba</t>
  </si>
  <si>
    <t>A: un solo firmware; B: más interfaces, pero módulos probables por separado.</t>
  </si>
  <si>
    <t>Integridad de señal y EMC</t>
  </si>
  <si>
    <t>A: SDRAM a 100 MHz y bus paralelo a 48 MHz (cortos). B: DDR3 con impedancia controlada y más capas.</t>
  </si>
  <si>
    <t>Costo y disponibilidad</t>
  </si>
  <si>
    <t>MCU y SDRAM de amplia disponibilidad; SoC y DDR3 con más costo.</t>
  </si>
  <si>
    <t>Suma de pesos</t>
  </si>
  <si>
    <t>Total A (sobre 100)</t>
  </si>
  <si>
    <t>Total B (sobre 100)</t>
  </si>
  <si>
    <t>Sensibilidad: total A</t>
  </si>
  <si>
    <t>Sensibilidad: total B</t>
  </si>
  <si>
    <t>Escala 1 (malo) a 5 (excelente). Total = Σ(peso × nota)/5. Sensibilidad: peso de procesamiento 30 y de energía 10.</t>
  </si>
  <si>
    <t>Entradas de generación y batería</t>
  </si>
  <si>
    <t>Fuente</t>
  </si>
  <si>
    <t>Área de celda</t>
  </si>
  <si>
    <t>cm²</t>
  </si>
  <si>
    <t>Celda TJ en cara 1U</t>
  </si>
  <si>
    <t>Eficiencia de celda</t>
  </si>
  <si>
    <t>3G30-Adv, Tabla 3-1 [soapwr]</t>
  </si>
  <si>
    <t>Constante solar</t>
  </si>
  <si>
    <t>W/m²</t>
  </si>
  <si>
    <t>Celdas por cara</t>
  </si>
  <si>
    <t>Factor de temperatura</t>
  </si>
  <si>
    <t>k_deg</t>
  </si>
  <si>
    <t>Degradación 6 meses</t>
  </si>
  <si>
    <t>Eficiencia MPPT y conversión</t>
  </si>
  <si>
    <t>Pérdidas de cableado</t>
  </si>
  <si>
    <t>Factor geométrico (2 caras a 45°)</t>
  </si>
  <si>
    <t>Actitud nominal</t>
  </si>
  <si>
    <t>Capacidad de celda</t>
  </si>
  <si>
    <t>Ah</t>
  </si>
  <si>
    <t>NCR18650B, Tabla 3-4 [soapwr]</t>
  </si>
  <si>
    <t>Tensión nominal de celda</t>
  </si>
  <si>
    <t>V</t>
  </si>
  <si>
    <t>Celdas en serie</t>
  </si>
  <si>
    <t>2S1P</t>
  </si>
  <si>
    <t>Margen sobre consumo</t>
  </si>
  <si>
    <t>Órbitas de peor caso por día</t>
  </si>
  <si>
    <t>Perfil de diseño</t>
  </si>
  <si>
    <t>Potencia por cara BOL</t>
  </si>
  <si>
    <t>W</t>
  </si>
  <si>
    <t>Generación promedio orbital EOL</t>
  </si>
  <si>
    <t>Duración de la órbita</t>
  </si>
  <si>
    <t>h</t>
  </si>
  <si>
    <t>Energía generada por órbita</t>
  </si>
  <si>
    <t>Wh</t>
  </si>
  <si>
    <t>Capacidad de batería</t>
  </si>
  <si>
    <t>Subsistema</t>
  </si>
  <si>
    <t>P nominal (W)</t>
  </si>
  <si>
    <t>P máxima (W)</t>
  </si>
  <si>
    <t>Ciclo órbita nominal</t>
  </si>
  <si>
    <t>Ciclo órbita peor caso</t>
  </si>
  <si>
    <t>Energía nominal (Wh)</t>
  </si>
  <si>
    <t>Energía peor caso (Wh)</t>
  </si>
  <si>
    <t>OBC (MCU + memorias)</t>
  </si>
  <si>
    <t>Tabla 8-4 [soaav]</t>
  </si>
  <si>
    <t>EPS (supervisión)</t>
  </si>
  <si>
    <t>Tablas 3-1, 3-4 [soapwr]</t>
  </si>
  <si>
    <t>ADCS sensores</t>
  </si>
  <si>
    <t>Tablas 5-6, 5-7 [soagnc]</t>
  </si>
  <si>
    <t>ADCS magnetorquers</t>
  </si>
  <si>
    <t>Tabla 5-4 [soagnc]</t>
  </si>
  <si>
    <t>ADCS ruedas (3)</t>
  </si>
  <si>
    <t>Tabla 5-3 [soagnc]</t>
  </si>
  <si>
    <t>UHF RX</t>
  </si>
  <si>
    <t>Pulsar-UTRX &lt;240 mW [pulsarutrx]</t>
  </si>
  <si>
    <t>UHF TX (1 W RF)</t>
  </si>
  <si>
    <t>Pulsar-VUTRX 3-5,5 W [pulsarvutrx]</t>
  </si>
  <si>
    <t>Banda S TX (1 W RF)</t>
  </si>
  <si>
    <t>Pulsar-STXC &lt;5 W [pulsarstx]</t>
  </si>
  <si>
    <t>Cámara</t>
  </si>
  <si>
    <t>Sensor 0,38 W [mt9p031] + reguladores</t>
  </si>
  <si>
    <t>Calentador de batería</t>
  </si>
  <si>
    <t>Total</t>
  </si>
  <si>
    <t>Total con margen</t>
  </si>
  <si>
    <t>Balance órbita nominal (Wh)</t>
  </si>
  <si>
    <t>Balance órbita peor caso (Wh)</t>
  </si>
  <si>
    <t>Balance diario con órbitas de peor caso (Wh)</t>
  </si>
  <si>
    <t>Energía de eclipse, peor caso (Wh)</t>
  </si>
  <si>
    <t>Profundidad de descarga peor órbita</t>
  </si>
  <si>
    <t>Ciclos en 6 meses</t>
  </si>
  <si>
    <t>Cumple RNF-09 (balance &gt; 0)</t>
  </si>
  <si>
    <t>Cumple RNF-10 (DoD ≤ 20 %)</t>
  </si>
  <si>
    <t>Elemento</t>
  </si>
  <si>
    <t>Masa (g)</t>
  </si>
  <si>
    <t>Fuente masa</t>
  </si>
  <si>
    <t>Altura en Z (mm)</t>
  </si>
  <si>
    <t>Observación</t>
  </si>
  <si>
    <t>EPS + batería 2S (P1)</t>
  </si>
  <si>
    <t>Tabla 3-4 [soapwr] (2 celdas ≈ 100 g)</t>
  </si>
  <si>
    <t>Celda de 18,5 mm + PCB + separación</t>
  </si>
  <si>
    <t>OBC-ADCS (P2)</t>
  </si>
  <si>
    <t>Componentes bajos</t>
  </si>
  <si>
    <t>Ruedas (3) con soporte</t>
  </si>
  <si>
    <t>En la bahía de carga útil</t>
  </si>
  <si>
    <t>COM (P3) con blindaje</t>
  </si>
  <si>
    <t>TRXVU 75 g [trxvu] + TXS 120 g [txs]</t>
  </si>
  <si>
    <t>Cámara: lente, filtro, P4</t>
  </si>
  <si>
    <t>Estimación (S-08)</t>
  </si>
  <si>
    <t>Bahía de carga útil (incluye ruedas)</t>
  </si>
  <si>
    <t>Antenas UHF y S</t>
  </si>
  <si>
    <t>Tabla 9-2 [soacom]</t>
  </si>
  <si>
    <t>Tapa +Z</t>
  </si>
  <si>
    <t>Estructura, paneles, magnetorquers, arnés</t>
  </si>
  <si>
    <t>Estructura 115 g [spacemanic] + resto estimado</t>
  </si>
  <si>
    <t>Masa con margen 20 %</t>
  </si>
  <si>
    <t>Límites (CDS / S-10)</t>
  </si>
  <si>
    <t>Masa 1U ≤ 2,00 kg [cds]; altura útil 95 mm (S-10)</t>
  </si>
  <si>
    <t>Margen</t>
  </si>
  <si>
    <t>Datos por adquisición (MB)</t>
  </si>
  <si>
    <t>Adquisiciones por día (promedio)</t>
  </si>
  <si>
    <t>Volumen por día (MB)</t>
  </si>
  <si>
    <t>Almacenamiento 7 días pico (MB)</t>
  </si>
  <si>
    <t>Tasa / canal</t>
  </si>
  <si>
    <t>Imagen 4 bandas (comprimida)</t>
  </si>
  <si>
    <t>Banda S 1 Mbps</t>
  </si>
  <si>
    <t>Miniaturas (20 kB × tomas)</t>
  </si>
  <si>
    <t>UHF o S</t>
  </si>
  <si>
    <t>Registro ADCS en captura (100 B a 10 Hz, 120 s)</t>
  </si>
  <si>
    <t>S</t>
  </si>
  <si>
    <t>Telemetría (200 B cada 60 s)</t>
  </si>
  <si>
    <t>UHF 9,6 kbps</t>
  </si>
  <si>
    <t>Capacidad útil de banda S (MB/día)</t>
  </si>
  <si>
    <t>Uso de la capacidad S (promedio)</t>
  </si>
  <si>
    <t>Días para descargar una sesión</t>
  </si>
  <si>
    <t>Almacenamiento útil especificado (MB)</t>
  </si>
  <si>
    <t>Cumple RNF-04 (7 días)</t>
  </si>
  <si>
    <t>Cumple RNF-05 (≤ 2 días por sesión)</t>
  </si>
  <si>
    <t>UHF bajada</t>
  </si>
  <si>
    <t>S bajada</t>
  </si>
  <si>
    <t>Unidad / fuente</t>
  </si>
  <si>
    <t>Elevación mínima</t>
  </si>
  <si>
    <t>° (S-03)</t>
  </si>
  <si>
    <t>Distancia máxima</t>
  </si>
  <si>
    <t>Frecuencia</t>
  </si>
  <si>
    <t>Potencia TX</t>
  </si>
  <si>
    <t>dBW (30 dBm)</t>
  </si>
  <si>
    <t>Pérdida de línea TX</t>
  </si>
  <si>
    <t>dB</t>
  </si>
  <si>
    <t>Ganancia TX</t>
  </si>
  <si>
    <t>dBi (dipolo / parche, Tabla 9-2)</t>
  </si>
  <si>
    <t>Atmósfera + polarización</t>
  </si>
  <si>
    <t>G/T del receptor</t>
  </si>
  <si>
    <t>dB/K (Yagi 16,3 dBi, NF 2 dB / parábola 2 m) [isisgs, ntnugs]</t>
  </si>
  <si>
    <t>Tasa de datos</t>
  </si>
  <si>
    <t>bit/s</t>
  </si>
  <si>
    <t>Eb/N0 requerido (S-13)</t>
  </si>
  <si>
    <t>dB [murota, ccsds130]</t>
  </si>
  <si>
    <t>PIRE</t>
  </si>
  <si>
    <t>dBW</t>
  </si>
  <si>
    <t>Pérdida de espacio libre</t>
  </si>
  <si>
    <t>C/N0</t>
  </si>
  <si>
    <t>dBHz</t>
  </si>
  <si>
    <t>Eb/N0 obtenido</t>
  </si>
  <si>
    <t>Cumple RNF-06 (≥ 3 dB)</t>
  </si>
  <si>
    <t>Margen con 1 dB de pérdida de implementación</t>
  </si>
  <si>
    <t>S bajada con parábola de 1,2 m (R-05)</t>
  </si>
  <si>
    <t>Subida UHF (por sensibilidad)</t>
  </si>
  <si>
    <t>Potencia TX estación</t>
  </si>
  <si>
    <t>W [ntnugs]</t>
  </si>
  <si>
    <t>Ganancia Yagi</t>
  </si>
  <si>
    <t>dBi [ntnugs]</t>
  </si>
  <si>
    <t>Ganancia antena satélite</t>
  </si>
  <si>
    <t>dBi</t>
  </si>
  <si>
    <t>Pérdida de línea RX</t>
  </si>
  <si>
    <t>Sensibilidad RX (BER 1E-5, FSK 9,6 kbps)</t>
  </si>
  <si>
    <t>dBm [trxvu]</t>
  </si>
  <si>
    <t>Potencia recibida</t>
  </si>
  <si>
    <t>dBm</t>
  </si>
  <si>
    <t>Origen</t>
  </si>
  <si>
    <t>Destino</t>
  </si>
  <si>
    <t>Señal / protocolo</t>
  </si>
  <si>
    <t>Características eléctricas prelim.</t>
  </si>
  <si>
    <t>Tasa / volumen</t>
  </si>
  <si>
    <t>Observaciones</t>
  </si>
  <si>
    <t>IF01*</t>
  </si>
  <si>
    <t>Paneles</t>
  </si>
  <si>
    <t>Potencia solar</t>
  </si>
  <si>
    <t>4 pares independientes</t>
  </si>
  <si>
    <t>2 celdas en serie: V_mp≈4,8 V, I_mp≈0,5 A</t>
  </si>
  <si>
    <t>DC</t>
  </si>
  <si>
    <t>Diodo de bloqueo por cara; NTC por panel</t>
  </si>
  <si>
    <t>IF02</t>
  </si>
  <si>
    <t>Terminales + NTC</t>
  </si>
  <si>
    <t>6,0--8,4 V, ≤3 A</t>
  </si>
  <si>
    <t>Fusible térmico/PTC en la celda</t>
  </si>
  <si>
    <t>IF03*</t>
  </si>
  <si>
    <t>P2, P3, P4, ruedas</t>
  </si>
  <si>
    <t>Distribución</t>
  </si>
  <si>
    <t>Conector de apilado</t>
  </si>
  <si>
    <t>VBAT, 5V_SW (4 salidas), 3V3_SW (4 salidas), GND; ≤2 A por pin</t>
  </si>
  <si>
    <t>Retornos por pines dedicados; tierra en estrella en P1 [ecss20]</t>
  </si>
  <si>
    <t>IF04*</t>
  </si>
  <si>
    <t>Telemetría y comandos EPS</t>
  </si>
  <si>
    <t>I2C-1 + latido + reset (discretas)</t>
  </si>
  <si>
    <t>3,3 V, pull-up en P2, 100 kHz</t>
  </si>
  <si>
    <t>≈200 B/s</t>
  </si>
  <si>
    <t>Bus exclusivo EPS; P1 aislado si P2 apagado</t>
  </si>
  <si>
    <t>IF05*</t>
  </si>
  <si>
    <t>P3 (UHF)</t>
  </si>
  <si>
    <t>UART + enable + reset</t>
  </si>
  <si>
    <t>3,3 V, 115,2 kbaud</t>
  </si>
  <si>
    <t>9,6 kbps</t>
  </si>
  <si>
    <t>Inhibidor FET en VBAT de radio</t>
  </si>
  <si>
    <t>IF06*</t>
  </si>
  <si>
    <t>P3 (S)</t>
  </si>
  <si>
    <t>Datos de imagen</t>
  </si>
  <si>
    <t>SPI + enable + estado</t>
  </si>
  <si>
    <t>3,3 V, ≥8 MHz</t>
  </si>
  <si>
    <t>1 Mbps</t>
  </si>
  <si>
    <t>FIFO en transmisor</t>
  </si>
  <si>
    <t>IF07*</t>
  </si>
  <si>
    <t>Píxeles y configuración</t>
  </si>
  <si>
    <t>Paralelo 12 b + PIXCLK, HSYNC, VSYNC, XCLK, I2C-2, RESET</t>
  </si>
  <si>
    <t>Niveles 1,8--3,3 V con traductor de nivel en P4; cable FFC ≤80 mm</t>
  </si>
  <si>
    <t>96 MB/s ráfagas</t>
  </si>
  <si>
    <t>Tierras intercaladas en FFC; igualar longitudes</t>
  </si>
  <si>
    <t>IF08*</t>
  </si>
  <si>
    <t>Bobinas MTQ</t>
  </si>
  <si>
    <t>Actuación magnética</t>
  </si>
  <si>
    <t>PWM a puente H</t>
  </si>
  <si>
    <t>5 V, ≤120 mA por eje</t>
  </si>
  <si>
    <t>10 Hz</t>
  </si>
  <si>
    <t>Medición de corriente por eje</t>
  </si>
  <si>
    <t>IF09*</t>
  </si>
  <si>
    <t>P2, P1</t>
  </si>
  <si>
    <t>Ruedas</t>
  </si>
  <si>
    <t>Actuación fina</t>
  </si>
  <si>
    <t>UART + 5V_SW</t>
  </si>
  <si>
    <t>3,3 V lógica; pico 1,5 W total</t>
  </si>
  <si>
    <t>Controlador de velocidad en la rueda</t>
  </si>
  <si>
    <t>IF10*</t>
  </si>
  <si>
    <t>Sensores solares, temperatura</t>
  </si>
  <si>
    <t>Analógico (fotodiodos)</t>
  </si>
  <si>
    <t>0--3,3 V, filtrado RC</t>
  </si>
  <si>
    <t>Pares trenzados con retorno propio</t>
  </si>
  <si>
    <t>IF11</t>
  </si>
  <si>
    <t>P3</t>
  </si>
  <si>
    <t>Antenas</t>
  </si>
  <si>
    <t>RF</t>
  </si>
  <si>
    <t>Coaxial 50 Ω</t>
  </si>
  <si>
    <t>UHF 30 dBm; S 30 dBm</t>
  </si>
  <si>
    <t>--</t>
  </si>
  <si>
    <t>Pérdida ≤1 dB</t>
  </si>
  <si>
    <t>IF12*</t>
  </si>
  <si>
    <t>Antena UHF</t>
  </si>
  <si>
    <t>Despliegue</t>
  </si>
  <si>
    <t>Quemador por FET</t>
  </si>
  <si>
    <t>VBAT, ≈1 A, 5 s</t>
  </si>
  <si>
    <t>Único</t>
  </si>
  <si>
    <t>3 inhibidores; habilitado a los 30 min</t>
  </si>
  <si>
    <t>IF13*</t>
  </si>
  <si>
    <t>Interruptores / RBF</t>
  </si>
  <si>
    <t>Inhibición</t>
  </si>
  <si>
    <t>Contactos en serie</t>
  </si>
  <si>
    <t>Corta VBAT de todas las cargas</t>
  </si>
  <si>
    <t>Reinicio de temporizadores</t>
  </si>
  <si>
    <t>IF14*</t>
  </si>
  <si>
    <t>Umbilical</t>
  </si>
  <si>
    <t>Carga, depuración</t>
  </si>
  <si>
    <t>SWD + UART + carga externa</t>
  </si>
  <si>
    <t>3,3 V; carga ≤8,4 V</t>
  </si>
  <si>
    <t>Por puerto de acceso (RNF-15)</t>
  </si>
  <si>
    <t>Riesgo</t>
  </si>
  <si>
    <t>Consecuencia</t>
  </si>
  <si>
    <t>Mitigación / acción pendiente</t>
  </si>
  <si>
    <t>R-01</t>
  </si>
  <si>
    <t>Altura de apilado insuficiente (margen 3 mm).</t>
  </si>
  <si>
    <t>No cabe el sistema.</t>
  </si>
  <si>
    <t>Exigir ≥95 mm útiles al seleccionar la estructura (S-10); plan B: integrar COM en P2 (D2-B), que libera 13 mm.</t>
  </si>
  <si>
    <t>R-02</t>
  </si>
  <si>
    <t>Baja oferta de sensores con salida paralela.</t>
  </si>
  <si>
    <t>Cambio de la interfaz de cámara.</t>
  </si>
  <si>
    <t>Si el sensor elegido solo ofrece MIPI, añadir un puente MIPI--paralelo en P4; IF07 no cambia hacia P2.</t>
  </si>
  <si>
    <t>R-03</t>
  </si>
  <si>
    <t>Filtro de franjas a medida (costo y plazo).</t>
  </si>
  <si>
    <t>Retraso de la carga útil.</t>
  </si>
  <si>
    <t>Cotizar temprano; alternativa: cuatro filtros comerciales cortados y pegados con máscara.</t>
  </si>
  <si>
    <t>R-04</t>
  </si>
  <si>
    <t>Nubosidad sobre la zona cafetera.</t>
  </si>
  <si>
    <t>Imágenes inútiles, datos desperdiciados.</t>
  </si>
  <si>
    <t>Miniaturas por UHF para elegir qué descargar; capturas en la mañana (S-01).</t>
  </si>
  <si>
    <t>R-05</t>
  </si>
  <si>
    <t>La estación de Medellín solo dispone de parábola de 1,2 m.</t>
  </si>
  <si>
    <t>Margen S de 0,3 dB (&lt;3 dB).</t>
  </si>
  <si>
    <t>Reducir a 512 kbps (margen 3,2 dB) y descargar en dos pases.</t>
  </si>
  <si>
    <t>R-06</t>
  </si>
  <si>
    <t>SEL/SEU en componentes COTS.</t>
  </si>
  <si>
    <t>Pérdida de funciones o reinicios.</t>
  </si>
  <si>
    <t>LCL con reconexión, watchdog externo, ECC y doble arranque [soaav].</t>
  </si>
  <si>
    <t>R-07</t>
  </si>
  <si>
    <t>SNR insuficiente en NIR (baja eficiencia cuántica del silicio).</t>
  </si>
  <si>
    <t>Índices ruidosos.</t>
  </si>
  <si>
    <t>Banda NIR ancha (ET-01), exposición y ganancia ajustables, y agrupación de píxeles 2×2 (GSD 97 m) si la señal es baja.</t>
  </si>
  <si>
    <t>R-08</t>
  </si>
  <si>
    <t>OBC como punto único de falla.</t>
  </si>
  <si>
    <t>Pérdida de la misión.</t>
  </si>
  <si>
    <t>EPS autónoma y supervisora; modo seguro; actualización de software en órbita.</t>
  </si>
  <si>
    <t>R-09</t>
  </si>
  <si>
    <t>Licencias: la banda de aficionados prohíbe cifrado y uso con fines de lucro.</t>
  </si>
  <si>
    <t>Restricción de operación.</t>
  </si>
  <si>
    <t>Datos abiertos; trámite ante la ANE y coordinación IARU iniciados al congelar frecuencias [soacom].</t>
  </si>
  <si>
    <t>Contiene las matrices, la comparación de alternativas y los presupuestos del informe.</t>
  </si>
  <si>
    <t>Los contactos con Medellín (pases/día y minutos/día) provienen de la propagación de 10 días en calculos.py; aquí se ingresan como dato.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</si>
</sst>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0.0%"/>
    <numFmt numFmtId="167" formatCode="0.0000"/>
  </numFmts>
  <fonts count="6" x14ac:knownFonts="1">
    <font>
      <sz val="11"/>
      <color theme="1"/>
      <name val="Calibri"/>
      <family val="2"/>
      <charset val="1"/>
    </font>
    <font>
      <b/>
      <sz val="11"/>
      <name val="Arial"/>
      <charset val="1"/>
    </font>
    <font>
      <sz val="11"/>
      <name val="Arial"/>
      <charset val="1"/>
    </font>
    <font>
      <b/>
      <sz val="11"/>
      <color rgb="FFFFFFFF"/>
      <name val="Arial"/>
      <charset val="1"/>
    </font>
    <font>
      <sz val="11"/>
      <color rgb="FF0000FF"/>
      <name val="Arial"/>
      <charset val="1"/>
    </font>
    <font>
      <sz val="11"/>
      <color rgb="FF00800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BFBFB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1" fontId="4" fillId="3" borderId="1" xfId="0" applyNumberFormat="1" applyFont="1" applyFill="1" applyBorder="1" applyAlignment="1">
      <alignment vertical="top" wrapText="1"/>
    </xf>
    <xf numFmtId="164" fontId="2" fillId="0" borderId="1" xfId="0" applyNumberFormat="1" applyFont="1" applyBorder="1" applyAlignment="1">
      <alignment vertical="top" wrapText="1"/>
    </xf>
    <xf numFmtId="164" fontId="4" fillId="3" borderId="1" xfId="0" applyNumberFormat="1" applyFont="1" applyFill="1" applyBorder="1" applyAlignment="1">
      <alignment vertical="top" wrapText="1"/>
    </xf>
    <xf numFmtId="1" fontId="4" fillId="0" borderId="1" xfId="0" applyNumberFormat="1" applyFont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1" fontId="1" fillId="0" borderId="1" xfId="0" applyNumberFormat="1" applyFont="1" applyBorder="1" applyAlignment="1">
      <alignment vertical="top" wrapText="1"/>
    </xf>
    <xf numFmtId="2" fontId="2" fillId="0" borderId="1" xfId="0" applyNumberFormat="1" applyFont="1" applyBorder="1" applyAlignment="1">
      <alignment vertical="top" wrapText="1"/>
    </xf>
    <xf numFmtId="164" fontId="5" fillId="0" borderId="1" xfId="0" applyNumberFormat="1" applyFont="1" applyBorder="1" applyAlignment="1">
      <alignment vertical="top" wrapText="1"/>
    </xf>
    <xf numFmtId="165" fontId="2" fillId="0" borderId="1" xfId="0" applyNumberFormat="1" applyFont="1" applyBorder="1" applyAlignment="1">
      <alignment vertical="top" wrapText="1"/>
    </xf>
    <xf numFmtId="2" fontId="4" fillId="0" borderId="1" xfId="0" applyNumberFormat="1" applyFont="1" applyBorder="1" applyAlignment="1">
      <alignment vertical="top" wrapText="1"/>
    </xf>
    <xf numFmtId="9" fontId="4" fillId="0" borderId="1" xfId="0" applyNumberFormat="1" applyFont="1" applyBorder="1" applyAlignment="1">
      <alignment vertical="top" wrapText="1"/>
    </xf>
    <xf numFmtId="2" fontId="1" fillId="0" borderId="1" xfId="0" applyNumberFormat="1" applyFont="1" applyBorder="1" applyAlignment="1">
      <alignment vertical="top" wrapText="1"/>
    </xf>
    <xf numFmtId="166" fontId="2" fillId="0" borderId="1" xfId="0" applyNumberFormat="1" applyFont="1" applyBorder="1" applyAlignment="1">
      <alignment vertical="top" wrapText="1"/>
    </xf>
    <xf numFmtId="165" fontId="5" fillId="0" borderId="1" xfId="0" applyNumberFormat="1" applyFont="1" applyBorder="1" applyAlignment="1">
      <alignment vertical="top" wrapText="1"/>
    </xf>
    <xf numFmtId="2" fontId="5" fillId="0" borderId="1" xfId="0" applyNumberFormat="1" applyFont="1" applyBorder="1" applyAlignment="1">
      <alignment vertical="top" wrapText="1"/>
    </xf>
    <xf numFmtId="1" fontId="2" fillId="0" borderId="1" xfId="0" applyNumberFormat="1" applyFont="1" applyBorder="1" applyAlignment="1">
      <alignment vertical="top" wrapText="1"/>
    </xf>
    <xf numFmtId="167" fontId="2" fillId="0" borderId="1" xfId="0" applyNumberFormat="1" applyFont="1" applyBorder="1" applyAlignment="1">
      <alignment vertical="top" wrapText="1"/>
    </xf>
    <xf numFmtId="165" fontId="1" fillId="0" borderId="1" xfId="0" applyNumberFormat="1" applyFont="1" applyBorder="1" applyAlignment="1">
      <alignment vertical="top" wrapText="1"/>
    </xf>
    <xf numFmtId="9" fontId="2" fillId="0" borderId="1" xfId="0" applyNumberFormat="1" applyFont="1" applyBorder="1" applyAlignment="1">
      <alignment vertical="top" wrapText="1"/>
    </xf>
    <xf numFmtId="165" fontId="4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zoomScaleNormal="100" workbookViewId="0">
      <selection activeCell="A8" sqref="A8"/>
    </sheetView>
  </sheetViews>
  <sheetFormatPr baseColWidth="10" defaultColWidth="8.7109375" defaultRowHeight="15" x14ac:dyDescent="0.25"/>
  <cols>
    <col min="1" max="1" width="120" customWidth="1"/>
  </cols>
  <sheetData>
    <row r="1" spans="1:1" x14ac:dyDescent="0.25">
      <c r="A1" s="1" t="s">
        <v>0</v>
      </c>
    </row>
    <row r="2" spans="1:1" x14ac:dyDescent="0.25">
      <c r="A2" s="2" t="s">
        <v>938</v>
      </c>
    </row>
    <row r="3" spans="1:1" ht="28.5" x14ac:dyDescent="0.25">
      <c r="A3" s="2" t="s">
        <v>1</v>
      </c>
    </row>
    <row r="4" spans="1:1" ht="42.75" x14ac:dyDescent="0.25">
      <c r="A4" s="2" t="s">
        <v>2</v>
      </c>
    </row>
    <row r="5" spans="1:1" ht="42.75" x14ac:dyDescent="0.25">
      <c r="A5" s="2" t="s">
        <v>3</v>
      </c>
    </row>
    <row r="6" spans="1:1" ht="28.5" x14ac:dyDescent="0.25">
      <c r="A6" s="2" t="s">
        <v>939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7"/>
  <sheetViews>
    <sheetView zoomScaleNormal="100" workbookViewId="0"/>
  </sheetViews>
  <sheetFormatPr baseColWidth="10" defaultColWidth="8.7109375" defaultRowHeight="15" x14ac:dyDescent="0.25"/>
  <cols>
    <col min="1" max="1" width="40" customWidth="1"/>
    <col min="2" max="2" width="14" customWidth="1"/>
    <col min="3" max="3" width="12" customWidth="1"/>
    <col min="4" max="4" width="40" customWidth="1"/>
  </cols>
  <sheetData>
    <row r="1" spans="1:4" x14ac:dyDescent="0.25">
      <c r="A1" s="3" t="s">
        <v>4</v>
      </c>
      <c r="B1" s="3" t="s">
        <v>5</v>
      </c>
      <c r="C1" s="3" t="s">
        <v>6</v>
      </c>
      <c r="D1" s="3" t="s">
        <v>7</v>
      </c>
    </row>
    <row r="2" spans="1:4" x14ac:dyDescent="0.25">
      <c r="A2" s="4" t="s">
        <v>8</v>
      </c>
      <c r="B2" s="5">
        <v>398600.44179999997</v>
      </c>
      <c r="C2" s="4" t="s">
        <v>9</v>
      </c>
      <c r="D2" s="4" t="s">
        <v>10</v>
      </c>
    </row>
    <row r="3" spans="1:4" x14ac:dyDescent="0.25">
      <c r="A3" s="4" t="s">
        <v>11</v>
      </c>
      <c r="B3" s="5">
        <v>6378.1369999999997</v>
      </c>
      <c r="C3" s="4" t="s">
        <v>12</v>
      </c>
      <c r="D3" s="4" t="s">
        <v>10</v>
      </c>
    </row>
    <row r="4" spans="1:4" x14ac:dyDescent="0.25">
      <c r="A4" s="4" t="s">
        <v>13</v>
      </c>
      <c r="B4" s="5">
        <v>1.08263E-3</v>
      </c>
      <c r="C4" s="4" t="s">
        <v>14</v>
      </c>
      <c r="D4" s="4" t="s">
        <v>10</v>
      </c>
    </row>
    <row r="5" spans="1:4" x14ac:dyDescent="0.25">
      <c r="A5" s="4" t="s">
        <v>15</v>
      </c>
      <c r="B5" s="6">
        <v>550</v>
      </c>
      <c r="C5" s="4" t="s">
        <v>12</v>
      </c>
      <c r="D5" s="4" t="s">
        <v>16</v>
      </c>
    </row>
    <row r="6" spans="1:4" x14ac:dyDescent="0.25">
      <c r="A6" s="4" t="s">
        <v>17</v>
      </c>
      <c r="B6" s="7">
        <f>$B$3+$B$5</f>
        <v>6928.1369999999997</v>
      </c>
      <c r="C6" s="4" t="s">
        <v>12</v>
      </c>
      <c r="D6" s="4" t="s">
        <v>18</v>
      </c>
    </row>
    <row r="7" spans="1:4" x14ac:dyDescent="0.25">
      <c r="A7" s="4" t="s">
        <v>19</v>
      </c>
      <c r="B7" s="7">
        <f>2*PI()*SQRT($B$6^3/$B$2)/60</f>
        <v>95.649880250246625</v>
      </c>
      <c r="C7" s="4" t="s">
        <v>20</v>
      </c>
      <c r="D7" s="4" t="s">
        <v>21</v>
      </c>
    </row>
    <row r="8" spans="1:4" x14ac:dyDescent="0.25">
      <c r="A8" s="4" t="s">
        <v>22</v>
      </c>
      <c r="B8" s="7">
        <f>SQRT($B$2/$B$6)*$B$3/$B$6</f>
        <v>6.9829355040715724</v>
      </c>
      <c r="C8" s="4" t="s">
        <v>23</v>
      </c>
      <c r="D8" s="4" t="s">
        <v>24</v>
      </c>
    </row>
    <row r="9" spans="1:4" x14ac:dyDescent="0.25">
      <c r="A9" s="4" t="s">
        <v>25</v>
      </c>
      <c r="B9" s="7">
        <f>DEGREES(ACOS(-(2*PI()/(365.2422*86400))/(1.5*SQRT($B$2/$B$6^3)*$B$4*($B$3/$B$6)^2)))</f>
        <v>97.592931391115044</v>
      </c>
      <c r="C9" s="4" t="s">
        <v>26</v>
      </c>
      <c r="D9" s="4" t="s">
        <v>27</v>
      </c>
    </row>
    <row r="10" spans="1:4" x14ac:dyDescent="0.25">
      <c r="A10" s="4" t="s">
        <v>28</v>
      </c>
      <c r="B10" s="7">
        <f>ACOS(SQRT($B$5^2+2*$B$3*$B$5)/$B$6)/PI()</f>
        <v>0.37231082483040162</v>
      </c>
      <c r="C10" s="4" t="s">
        <v>14</v>
      </c>
      <c r="D10" s="4" t="s">
        <v>29</v>
      </c>
    </row>
    <row r="11" spans="1:4" x14ac:dyDescent="0.25">
      <c r="A11" s="4" t="s">
        <v>30</v>
      </c>
      <c r="B11" s="7">
        <f>$B$10*$B$7</f>
        <v>35.611485810898465</v>
      </c>
      <c r="C11" s="4" t="s">
        <v>20</v>
      </c>
      <c r="D11" s="4"/>
    </row>
    <row r="12" spans="1:4" x14ac:dyDescent="0.25">
      <c r="A12" s="4" t="s">
        <v>31</v>
      </c>
      <c r="B12" s="7">
        <f>1440/$B$7</f>
        <v>15.054906459188036</v>
      </c>
      <c r="C12" s="4" t="s">
        <v>14</v>
      </c>
      <c r="D12" s="4"/>
    </row>
    <row r="13" spans="1:4" x14ac:dyDescent="0.25">
      <c r="A13" s="4" t="s">
        <v>32</v>
      </c>
      <c r="B13" s="8">
        <v>2.2000000000000002</v>
      </c>
      <c r="C13" s="4" t="s">
        <v>33</v>
      </c>
      <c r="D13" s="4" t="s">
        <v>34</v>
      </c>
    </row>
    <row r="14" spans="1:4" x14ac:dyDescent="0.25">
      <c r="A14" s="4" t="s">
        <v>35</v>
      </c>
      <c r="B14" s="6">
        <v>25</v>
      </c>
      <c r="C14" s="4" t="s">
        <v>36</v>
      </c>
      <c r="D14" s="4" t="s">
        <v>37</v>
      </c>
    </row>
    <row r="15" spans="1:4" x14ac:dyDescent="0.25">
      <c r="A15" s="4" t="s">
        <v>38</v>
      </c>
      <c r="B15" s="9">
        <v>1296</v>
      </c>
      <c r="C15" s="4" t="s">
        <v>39</v>
      </c>
      <c r="D15" s="4" t="s">
        <v>40</v>
      </c>
    </row>
    <row r="16" spans="1:4" x14ac:dyDescent="0.25">
      <c r="A16" s="4" t="s">
        <v>41</v>
      </c>
      <c r="B16" s="9">
        <v>1944</v>
      </c>
      <c r="C16" s="4" t="s">
        <v>39</v>
      </c>
      <c r="D16" s="4" t="s">
        <v>42</v>
      </c>
    </row>
    <row r="17" spans="1:4" x14ac:dyDescent="0.25">
      <c r="A17" s="4" t="s">
        <v>43</v>
      </c>
      <c r="B17" s="9">
        <v>12</v>
      </c>
      <c r="C17" s="4" t="s">
        <v>44</v>
      </c>
      <c r="D17" s="4" t="s">
        <v>45</v>
      </c>
    </row>
    <row r="18" spans="1:4" x14ac:dyDescent="0.25">
      <c r="A18" s="4" t="s">
        <v>46</v>
      </c>
      <c r="B18" s="9">
        <v>4</v>
      </c>
      <c r="C18" s="4" t="s">
        <v>14</v>
      </c>
      <c r="D18" s="4" t="s">
        <v>47</v>
      </c>
    </row>
    <row r="19" spans="1:4" x14ac:dyDescent="0.25">
      <c r="A19" s="4" t="s">
        <v>48</v>
      </c>
      <c r="B19" s="7">
        <f>$B$5*1000*$B$13/$B$14/1000</f>
        <v>48.4</v>
      </c>
      <c r="C19" s="4" t="s">
        <v>49</v>
      </c>
      <c r="D19" s="4" t="s">
        <v>50</v>
      </c>
    </row>
    <row r="20" spans="1:4" x14ac:dyDescent="0.25">
      <c r="A20" s="4" t="s">
        <v>51</v>
      </c>
      <c r="B20" s="7">
        <f>$B$15*$B$19/1000</f>
        <v>62.726399999999998</v>
      </c>
      <c r="C20" s="4" t="s">
        <v>12</v>
      </c>
      <c r="D20" s="4" t="s">
        <v>52</v>
      </c>
    </row>
    <row r="21" spans="1:4" x14ac:dyDescent="0.25">
      <c r="A21" s="4" t="s">
        <v>53</v>
      </c>
      <c r="B21" s="7">
        <f>INT($B$16/$B$18)</f>
        <v>486</v>
      </c>
      <c r="C21" s="4" t="s">
        <v>39</v>
      </c>
      <c r="D21" s="4"/>
    </row>
    <row r="22" spans="1:4" x14ac:dyDescent="0.25">
      <c r="A22" s="4" t="s">
        <v>54</v>
      </c>
      <c r="B22" s="7">
        <f>$B$21*$B$19/1000</f>
        <v>23.522399999999998</v>
      </c>
      <c r="C22" s="4" t="s">
        <v>12</v>
      </c>
      <c r="D22" s="4"/>
    </row>
    <row r="23" spans="1:4" x14ac:dyDescent="0.25">
      <c r="A23" s="4" t="s">
        <v>55</v>
      </c>
      <c r="B23" s="7">
        <f>$B$15*$B$16*$B$17/8/10^6</f>
        <v>3.7791359999999998</v>
      </c>
      <c r="C23" s="4" t="s">
        <v>56</v>
      </c>
      <c r="D23" s="4"/>
    </row>
    <row r="24" spans="1:4" x14ac:dyDescent="0.25">
      <c r="A24" s="4" t="s">
        <v>57</v>
      </c>
      <c r="B24" s="9">
        <v>3</v>
      </c>
      <c r="C24" s="4" t="s">
        <v>58</v>
      </c>
      <c r="D24" s="4" t="s">
        <v>59</v>
      </c>
    </row>
    <row r="25" spans="1:4" x14ac:dyDescent="0.25">
      <c r="A25" s="4" t="s">
        <v>60</v>
      </c>
      <c r="B25" s="9">
        <v>60</v>
      </c>
      <c r="C25" s="4" t="s">
        <v>58</v>
      </c>
      <c r="D25" s="4" t="s">
        <v>59</v>
      </c>
    </row>
    <row r="26" spans="1:4" x14ac:dyDescent="0.25">
      <c r="A26" s="4" t="s">
        <v>61</v>
      </c>
      <c r="B26" s="7">
        <f>CEILING(($B$25+$B$18*$B$22/$B$8)/$B$24,1)+1</f>
        <v>26</v>
      </c>
      <c r="C26" s="4" t="s">
        <v>14</v>
      </c>
      <c r="D26" s="4" t="s">
        <v>62</v>
      </c>
    </row>
    <row r="27" spans="1:4" x14ac:dyDescent="0.25">
      <c r="A27" s="4" t="s">
        <v>63</v>
      </c>
      <c r="B27" s="6">
        <v>2</v>
      </c>
      <c r="C27" s="4" t="s">
        <v>14</v>
      </c>
      <c r="D27" s="4" t="s">
        <v>64</v>
      </c>
    </row>
    <row r="28" spans="1:4" x14ac:dyDescent="0.25">
      <c r="A28" s="4" t="s">
        <v>65</v>
      </c>
      <c r="B28" s="7">
        <f>$B$26*$B$23/$B$27</f>
        <v>49.128768000000001</v>
      </c>
      <c r="C28" s="4" t="s">
        <v>56</v>
      </c>
      <c r="D28" s="4"/>
    </row>
    <row r="29" spans="1:4" x14ac:dyDescent="0.25">
      <c r="A29" s="4" t="s">
        <v>66</v>
      </c>
      <c r="B29" s="7">
        <f>1-$B$8*$B$24/$B$22</f>
        <v>0.10941032750847202</v>
      </c>
      <c r="C29" s="4" t="s">
        <v>14</v>
      </c>
      <c r="D29" s="4" t="s">
        <v>67</v>
      </c>
    </row>
    <row r="30" spans="1:4" x14ac:dyDescent="0.25">
      <c r="A30" s="4" t="s">
        <v>68</v>
      </c>
      <c r="B30" s="7">
        <f>($B$19/2)/($B$8*1000)*1000</f>
        <v>3.4655912239042723</v>
      </c>
      <c r="C30" s="4" t="s">
        <v>69</v>
      </c>
      <c r="D30" s="4" t="s">
        <v>70</v>
      </c>
    </row>
    <row r="31" spans="1:4" x14ac:dyDescent="0.25">
      <c r="A31" s="4" t="s">
        <v>71</v>
      </c>
      <c r="B31" s="9">
        <v>48</v>
      </c>
      <c r="C31" s="4" t="s">
        <v>72</v>
      </c>
      <c r="D31" s="4" t="s">
        <v>73</v>
      </c>
    </row>
    <row r="32" spans="1:4" x14ac:dyDescent="0.25">
      <c r="A32" s="4" t="s">
        <v>74</v>
      </c>
      <c r="B32" s="7">
        <f>$B$15*$B$16/($B$31*10^6)*1000</f>
        <v>52.488</v>
      </c>
      <c r="C32" s="4" t="s">
        <v>69</v>
      </c>
      <c r="D32" s="4"/>
    </row>
    <row r="33" spans="1:4" x14ac:dyDescent="0.25">
      <c r="A33" s="4" t="s">
        <v>75</v>
      </c>
      <c r="B33" s="7">
        <f>DEGREES(($B$19/2)/($B$5*1000*$B$32/1000))</f>
        <v>4.8030298326772254E-2</v>
      </c>
      <c r="C33" s="4" t="s">
        <v>76</v>
      </c>
      <c r="D33" s="4" t="s">
        <v>77</v>
      </c>
    </row>
    <row r="34" spans="1:4" x14ac:dyDescent="0.25">
      <c r="A34" s="4" t="s">
        <v>78</v>
      </c>
      <c r="B34" s="7">
        <f>$B$8*1000*$B$32/1000/$B$19</f>
        <v>7.5727338582171235</v>
      </c>
      <c r="C34" s="4" t="s">
        <v>39</v>
      </c>
      <c r="D34" s="4" t="s">
        <v>79</v>
      </c>
    </row>
    <row r="35" spans="1:4" x14ac:dyDescent="0.25">
      <c r="A35" s="4" t="s">
        <v>80</v>
      </c>
      <c r="B35" s="6">
        <v>700</v>
      </c>
      <c r="C35" s="4" t="s">
        <v>81</v>
      </c>
      <c r="D35" s="4" t="s">
        <v>82</v>
      </c>
    </row>
    <row r="36" spans="1:4" x14ac:dyDescent="0.25">
      <c r="A36" s="4" t="s">
        <v>83</v>
      </c>
      <c r="B36" s="9">
        <v>400</v>
      </c>
      <c r="C36" s="4" t="s">
        <v>72</v>
      </c>
      <c r="D36" s="4" t="s">
        <v>84</v>
      </c>
    </row>
    <row r="37" spans="1:4" x14ac:dyDescent="0.25">
      <c r="A37" s="4" t="s">
        <v>85</v>
      </c>
      <c r="B37" s="7">
        <f>$B$15*$B$16*$B$35/($B$36*10^6)</f>
        <v>4.4089919999999996</v>
      </c>
      <c r="C37" s="4" t="s">
        <v>58</v>
      </c>
      <c r="D37" s="4"/>
    </row>
    <row r="38" spans="1:4" ht="28.5" x14ac:dyDescent="0.25">
      <c r="A38" s="4" t="s">
        <v>86</v>
      </c>
      <c r="B38" s="7">
        <f>$B$37*$B$26/60</f>
        <v>1.9105631999999997</v>
      </c>
      <c r="C38" s="4" t="s">
        <v>20</v>
      </c>
      <c r="D38" s="4" t="s">
        <v>87</v>
      </c>
    </row>
    <row r="39" spans="1:4" x14ac:dyDescent="0.25">
      <c r="A39" s="4" t="s">
        <v>88</v>
      </c>
      <c r="B39" s="7">
        <f>$B$5*TAN(RADIANS(2))</f>
        <v>19.20642322046125</v>
      </c>
      <c r="C39" s="4" t="s">
        <v>12</v>
      </c>
      <c r="D39" s="4" t="s">
        <v>89</v>
      </c>
    </row>
    <row r="40" spans="1:4" x14ac:dyDescent="0.25">
      <c r="A40" s="4" t="s">
        <v>90</v>
      </c>
      <c r="B40" s="5">
        <v>2.2000000000000002</v>
      </c>
      <c r="C40" s="4" t="s">
        <v>91</v>
      </c>
      <c r="D40" s="4" t="s">
        <v>92</v>
      </c>
    </row>
    <row r="41" spans="1:4" x14ac:dyDescent="0.25">
      <c r="A41" s="4" t="s">
        <v>93</v>
      </c>
      <c r="B41" s="5">
        <v>15.4</v>
      </c>
      <c r="C41" s="4" t="s">
        <v>94</v>
      </c>
      <c r="D41" s="4" t="s">
        <v>92</v>
      </c>
    </row>
    <row r="42" spans="1:4" x14ac:dyDescent="0.25">
      <c r="A42" s="4" t="s">
        <v>95</v>
      </c>
      <c r="B42" s="8">
        <v>0.5</v>
      </c>
      <c r="C42" s="4" t="s">
        <v>14</v>
      </c>
      <c r="D42" s="4" t="s">
        <v>96</v>
      </c>
    </row>
    <row r="43" spans="1:4" x14ac:dyDescent="0.25">
      <c r="A43" s="4" t="s">
        <v>97</v>
      </c>
      <c r="B43" s="5">
        <v>0.85</v>
      </c>
      <c r="C43" s="4" t="s">
        <v>14</v>
      </c>
      <c r="D43" s="4" t="s">
        <v>96</v>
      </c>
    </row>
    <row r="44" spans="1:4" x14ac:dyDescent="0.25">
      <c r="A44" s="4" t="s">
        <v>98</v>
      </c>
      <c r="B44" s="9">
        <v>1</v>
      </c>
      <c r="C44" s="4" t="s">
        <v>99</v>
      </c>
      <c r="D44" s="4" t="s">
        <v>100</v>
      </c>
    </row>
    <row r="45" spans="1:4" x14ac:dyDescent="0.25">
      <c r="A45" s="4" t="s">
        <v>101</v>
      </c>
      <c r="B45" s="7">
        <f>$B$44*10^6*$B$41*60*$B$42*$B$43/8/10^6</f>
        <v>49.087499999999999</v>
      </c>
      <c r="C45" s="4" t="s">
        <v>102</v>
      </c>
      <c r="D45" s="4" t="s">
        <v>103</v>
      </c>
    </row>
    <row r="46" spans="1:4" x14ac:dyDescent="0.25">
      <c r="A46" s="4" t="s">
        <v>104</v>
      </c>
      <c r="B46" s="7">
        <f>$B$28*8/($B$44*$B$43)/60</f>
        <v>7.7064734117647058</v>
      </c>
      <c r="C46" s="4" t="s">
        <v>20</v>
      </c>
      <c r="D46" s="4"/>
    </row>
    <row r="47" spans="1:4" x14ac:dyDescent="0.25">
      <c r="A47" s="4" t="s">
        <v>105</v>
      </c>
      <c r="B47" s="6">
        <v>4</v>
      </c>
      <c r="C47" s="4" t="s">
        <v>14</v>
      </c>
      <c r="D47" s="4" t="s">
        <v>106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7109375" defaultRowHeight="15" x14ac:dyDescent="0.25"/>
  <cols>
    <col min="1" max="1" width="7" customWidth="1"/>
    <col min="2" max="2" width="60" customWidth="1"/>
    <col min="3" max="3" width="70" customWidth="1"/>
  </cols>
  <sheetData>
    <row r="1" spans="1:3" x14ac:dyDescent="0.25">
      <c r="A1" s="3" t="s">
        <v>107</v>
      </c>
      <c r="B1" s="3" t="s">
        <v>108</v>
      </c>
      <c r="C1" s="3" t="s">
        <v>109</v>
      </c>
    </row>
    <row r="2" spans="1:3" ht="57" x14ac:dyDescent="0.25">
      <c r="A2" s="4" t="s">
        <v>110</v>
      </c>
      <c r="B2" s="4" t="s">
        <v>111</v>
      </c>
      <c r="C2" s="4" t="s">
        <v>112</v>
      </c>
    </row>
    <row r="3" spans="1:3" x14ac:dyDescent="0.25">
      <c r="A3" s="4" t="s">
        <v>113</v>
      </c>
      <c r="B3" s="4" t="s">
        <v>114</v>
      </c>
      <c r="C3" s="4" t="s">
        <v>115</v>
      </c>
    </row>
    <row r="4" spans="1:3" ht="57" x14ac:dyDescent="0.25">
      <c r="A4" s="4" t="s">
        <v>116</v>
      </c>
      <c r="B4" s="4" t="s">
        <v>117</v>
      </c>
      <c r="C4" s="4" t="s">
        <v>118</v>
      </c>
    </row>
    <row r="5" spans="1:3" ht="42.75" x14ac:dyDescent="0.25">
      <c r="A5" s="4" t="s">
        <v>119</v>
      </c>
      <c r="B5" s="4" t="s">
        <v>120</v>
      </c>
      <c r="C5" s="4" t="s">
        <v>121</v>
      </c>
    </row>
    <row r="6" spans="1:3" ht="71.25" x14ac:dyDescent="0.25">
      <c r="A6" s="4" t="s">
        <v>64</v>
      </c>
      <c r="B6" s="4" t="s">
        <v>122</v>
      </c>
      <c r="C6" s="4" t="s">
        <v>123</v>
      </c>
    </row>
    <row r="7" spans="1:3" ht="71.25" x14ac:dyDescent="0.25">
      <c r="A7" s="4" t="s">
        <v>124</v>
      </c>
      <c r="B7" s="4" t="s">
        <v>125</v>
      </c>
      <c r="C7" s="4" t="s">
        <v>126</v>
      </c>
    </row>
    <row r="8" spans="1:3" ht="28.5" x14ac:dyDescent="0.25">
      <c r="A8" s="4" t="s">
        <v>106</v>
      </c>
      <c r="B8" s="4" t="s">
        <v>127</v>
      </c>
      <c r="C8" s="4" t="s">
        <v>128</v>
      </c>
    </row>
    <row r="9" spans="1:3" ht="57" x14ac:dyDescent="0.25">
      <c r="A9" s="4" t="s">
        <v>129</v>
      </c>
      <c r="B9" s="4" t="s">
        <v>130</v>
      </c>
      <c r="C9" s="4" t="s">
        <v>131</v>
      </c>
    </row>
    <row r="10" spans="1:3" ht="42.75" x14ac:dyDescent="0.25">
      <c r="A10" s="4" t="s">
        <v>132</v>
      </c>
      <c r="B10" s="4" t="s">
        <v>133</v>
      </c>
      <c r="C10" s="4" t="s">
        <v>134</v>
      </c>
    </row>
    <row r="11" spans="1:3" ht="42.75" x14ac:dyDescent="0.25">
      <c r="A11" s="4" t="s">
        <v>135</v>
      </c>
      <c r="B11" s="4" t="s">
        <v>136</v>
      </c>
      <c r="C11" s="4" t="s">
        <v>137</v>
      </c>
    </row>
    <row r="12" spans="1:3" ht="57" x14ac:dyDescent="0.25">
      <c r="A12" s="4" t="s">
        <v>138</v>
      </c>
      <c r="B12" s="4" t="s">
        <v>139</v>
      </c>
      <c r="C12" s="4" t="s">
        <v>140</v>
      </c>
    </row>
    <row r="13" spans="1:3" ht="28.5" x14ac:dyDescent="0.25">
      <c r="A13" s="4" t="s">
        <v>141</v>
      </c>
      <c r="B13" s="4" t="s">
        <v>142</v>
      </c>
      <c r="C13" s="4" t="s">
        <v>143</v>
      </c>
    </row>
    <row r="14" spans="1:3" ht="71.25" x14ac:dyDescent="0.25">
      <c r="A14" s="4" t="s">
        <v>144</v>
      </c>
      <c r="B14" s="4" t="s">
        <v>145</v>
      </c>
      <c r="C14" s="4" t="s">
        <v>146</v>
      </c>
    </row>
    <row r="15" spans="1:3" ht="57" x14ac:dyDescent="0.25">
      <c r="A15" s="4" t="s">
        <v>147</v>
      </c>
      <c r="B15" s="4" t="s">
        <v>148</v>
      </c>
      <c r="C15" s="4" t="s">
        <v>149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5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7109375" defaultRowHeight="15" x14ac:dyDescent="0.25"/>
  <cols>
    <col min="1" max="1" width="9" customWidth="1"/>
    <col min="2" max="2" width="6" customWidth="1"/>
    <col min="3" max="3" width="55" customWidth="1"/>
    <col min="4" max="4" width="35" customWidth="1"/>
    <col min="5" max="5" width="5" customWidth="1"/>
    <col min="6" max="6" width="45" customWidth="1"/>
  </cols>
  <sheetData>
    <row r="1" spans="1:6" x14ac:dyDescent="0.25">
      <c r="A1" s="3" t="s">
        <v>107</v>
      </c>
      <c r="B1" s="3" t="s">
        <v>150</v>
      </c>
      <c r="C1" s="3" t="s">
        <v>151</v>
      </c>
      <c r="D1" s="3" t="s">
        <v>152</v>
      </c>
      <c r="E1" s="3" t="s">
        <v>153</v>
      </c>
      <c r="F1" s="3" t="s">
        <v>154</v>
      </c>
    </row>
    <row r="2" spans="1:6" ht="30" x14ac:dyDescent="0.25">
      <c r="A2" s="10" t="s">
        <v>155</v>
      </c>
      <c r="B2" s="11"/>
      <c r="C2" s="11"/>
      <c r="D2" s="11"/>
      <c r="E2" s="11"/>
      <c r="F2" s="11"/>
    </row>
    <row r="3" spans="1:6" ht="28.5" x14ac:dyDescent="0.25">
      <c r="A3" s="4" t="s">
        <v>156</v>
      </c>
      <c r="B3" s="4" t="s">
        <v>157</v>
      </c>
      <c r="C3" s="4" t="s">
        <v>158</v>
      </c>
      <c r="D3" s="4" t="s">
        <v>159</v>
      </c>
      <c r="E3" s="4" t="s">
        <v>160</v>
      </c>
      <c r="F3" s="4" t="s">
        <v>161</v>
      </c>
    </row>
    <row r="4" spans="1:6" ht="28.5" x14ac:dyDescent="0.25">
      <c r="A4" s="4" t="s">
        <v>162</v>
      </c>
      <c r="B4" s="4" t="s">
        <v>157</v>
      </c>
      <c r="C4" s="4" t="s">
        <v>163</v>
      </c>
      <c r="D4" s="4" t="s">
        <v>164</v>
      </c>
      <c r="E4" s="4" t="s">
        <v>160</v>
      </c>
      <c r="F4" s="4" t="s">
        <v>165</v>
      </c>
    </row>
    <row r="5" spans="1:6" ht="42.75" x14ac:dyDescent="0.25">
      <c r="A5" s="4" t="s">
        <v>166</v>
      </c>
      <c r="B5" s="4" t="s">
        <v>157</v>
      </c>
      <c r="C5" s="4" t="s">
        <v>167</v>
      </c>
      <c r="D5" s="4" t="s">
        <v>168</v>
      </c>
      <c r="E5" s="4" t="s">
        <v>160</v>
      </c>
      <c r="F5" s="4" t="s">
        <v>169</v>
      </c>
    </row>
    <row r="6" spans="1:6" ht="42.75" x14ac:dyDescent="0.25">
      <c r="A6" s="4" t="s">
        <v>170</v>
      </c>
      <c r="B6" s="4" t="s">
        <v>157</v>
      </c>
      <c r="C6" s="4" t="s">
        <v>171</v>
      </c>
      <c r="D6" s="4" t="s">
        <v>172</v>
      </c>
      <c r="E6" s="4" t="s">
        <v>160</v>
      </c>
      <c r="F6" s="4" t="s">
        <v>173</v>
      </c>
    </row>
    <row r="7" spans="1:6" ht="42.75" x14ac:dyDescent="0.25">
      <c r="A7" s="4" t="s">
        <v>174</v>
      </c>
      <c r="B7" s="4" t="s">
        <v>157</v>
      </c>
      <c r="C7" s="4" t="s">
        <v>175</v>
      </c>
      <c r="D7" s="4" t="s">
        <v>172</v>
      </c>
      <c r="E7" s="4" t="s">
        <v>160</v>
      </c>
      <c r="F7" s="4" t="s">
        <v>176</v>
      </c>
    </row>
    <row r="8" spans="1:6" ht="28.5" x14ac:dyDescent="0.25">
      <c r="A8" s="4" t="s">
        <v>177</v>
      </c>
      <c r="B8" s="4" t="s">
        <v>157</v>
      </c>
      <c r="C8" s="4" t="s">
        <v>178</v>
      </c>
      <c r="D8" s="4" t="s">
        <v>179</v>
      </c>
      <c r="E8" s="4" t="s">
        <v>160</v>
      </c>
      <c r="F8" s="4" t="s">
        <v>180</v>
      </c>
    </row>
    <row r="9" spans="1:6" ht="42.75" x14ac:dyDescent="0.25">
      <c r="A9" s="4" t="s">
        <v>181</v>
      </c>
      <c r="B9" s="4" t="s">
        <v>157</v>
      </c>
      <c r="C9" s="4" t="s">
        <v>182</v>
      </c>
      <c r="D9" s="4" t="s">
        <v>172</v>
      </c>
      <c r="E9" s="4" t="s">
        <v>160</v>
      </c>
      <c r="F9" s="4" t="s">
        <v>183</v>
      </c>
    </row>
    <row r="10" spans="1:6" ht="28.5" x14ac:dyDescent="0.25">
      <c r="A10" s="4" t="s">
        <v>184</v>
      </c>
      <c r="B10" s="4" t="s">
        <v>157</v>
      </c>
      <c r="C10" s="4" t="s">
        <v>185</v>
      </c>
      <c r="D10" s="4" t="s">
        <v>172</v>
      </c>
      <c r="E10" s="4" t="s">
        <v>160</v>
      </c>
      <c r="F10" s="4" t="s">
        <v>186</v>
      </c>
    </row>
    <row r="11" spans="1:6" ht="28.5" x14ac:dyDescent="0.25">
      <c r="A11" s="4" t="s">
        <v>187</v>
      </c>
      <c r="B11" s="4" t="s">
        <v>157</v>
      </c>
      <c r="C11" s="4" t="s">
        <v>188</v>
      </c>
      <c r="D11" s="4" t="s">
        <v>189</v>
      </c>
      <c r="E11" s="4" t="s">
        <v>160</v>
      </c>
      <c r="F11" s="4" t="s">
        <v>190</v>
      </c>
    </row>
    <row r="12" spans="1:6" ht="28.5" x14ac:dyDescent="0.25">
      <c r="A12" s="4" t="s">
        <v>191</v>
      </c>
      <c r="B12" s="4" t="s">
        <v>157</v>
      </c>
      <c r="C12" s="4" t="s">
        <v>192</v>
      </c>
      <c r="D12" s="4" t="s">
        <v>193</v>
      </c>
      <c r="E12" s="4" t="s">
        <v>160</v>
      </c>
      <c r="F12" s="4" t="s">
        <v>194</v>
      </c>
    </row>
    <row r="13" spans="1:6" ht="28.5" x14ac:dyDescent="0.25">
      <c r="A13" s="4" t="s">
        <v>195</v>
      </c>
      <c r="B13" s="4" t="s">
        <v>157</v>
      </c>
      <c r="C13" s="4" t="s">
        <v>196</v>
      </c>
      <c r="D13" s="4" t="s">
        <v>197</v>
      </c>
      <c r="E13" s="4" t="s">
        <v>198</v>
      </c>
      <c r="F13" s="4" t="s">
        <v>199</v>
      </c>
    </row>
    <row r="14" spans="1:6" ht="28.5" x14ac:dyDescent="0.25">
      <c r="A14" s="4" t="s">
        <v>200</v>
      </c>
      <c r="B14" s="4" t="s">
        <v>157</v>
      </c>
      <c r="C14" s="4" t="s">
        <v>201</v>
      </c>
      <c r="D14" s="4" t="s">
        <v>202</v>
      </c>
      <c r="E14" s="4" t="s">
        <v>160</v>
      </c>
      <c r="F14" s="4" t="s">
        <v>203</v>
      </c>
    </row>
    <row r="15" spans="1:6" ht="28.5" x14ac:dyDescent="0.25">
      <c r="A15" s="4" t="s">
        <v>204</v>
      </c>
      <c r="B15" s="4" t="s">
        <v>157</v>
      </c>
      <c r="C15" s="4" t="s">
        <v>205</v>
      </c>
      <c r="D15" s="4" t="s">
        <v>206</v>
      </c>
      <c r="E15" s="4" t="s">
        <v>160</v>
      </c>
      <c r="F15" s="4" t="s">
        <v>207</v>
      </c>
    </row>
    <row r="16" spans="1:6" ht="45" x14ac:dyDescent="0.25">
      <c r="A16" s="10" t="s">
        <v>208</v>
      </c>
      <c r="B16" s="11"/>
      <c r="C16" s="11"/>
      <c r="D16" s="11"/>
      <c r="E16" s="11"/>
      <c r="F16" s="11"/>
    </row>
    <row r="17" spans="1:6" ht="42.75" x14ac:dyDescent="0.25">
      <c r="A17" s="4" t="s">
        <v>209</v>
      </c>
      <c r="B17" s="4" t="s">
        <v>210</v>
      </c>
      <c r="C17" s="4" t="s">
        <v>211</v>
      </c>
      <c r="D17" s="4" t="s">
        <v>212</v>
      </c>
      <c r="E17" s="4" t="s">
        <v>160</v>
      </c>
      <c r="F17" s="4" t="s">
        <v>213</v>
      </c>
    </row>
    <row r="18" spans="1:6" ht="42.75" x14ac:dyDescent="0.25">
      <c r="A18" s="4" t="s">
        <v>214</v>
      </c>
      <c r="B18" s="4" t="s">
        <v>210</v>
      </c>
      <c r="C18" s="4" t="s">
        <v>215</v>
      </c>
      <c r="D18" s="4" t="s">
        <v>216</v>
      </c>
      <c r="E18" s="4" t="s">
        <v>198</v>
      </c>
      <c r="F18" s="4" t="s">
        <v>217</v>
      </c>
    </row>
    <row r="19" spans="1:6" ht="28.5" x14ac:dyDescent="0.25">
      <c r="A19" s="4" t="s">
        <v>218</v>
      </c>
      <c r="B19" s="4" t="s">
        <v>210</v>
      </c>
      <c r="C19" s="4" t="s">
        <v>219</v>
      </c>
      <c r="D19" s="4" t="s">
        <v>220</v>
      </c>
      <c r="E19" s="4" t="s">
        <v>160</v>
      </c>
      <c r="F19" s="4" t="s">
        <v>221</v>
      </c>
    </row>
    <row r="20" spans="1:6" ht="28.5" x14ac:dyDescent="0.25">
      <c r="A20" s="4" t="s">
        <v>222</v>
      </c>
      <c r="B20" s="4" t="s">
        <v>210</v>
      </c>
      <c r="C20" s="4" t="s">
        <v>223</v>
      </c>
      <c r="D20" s="4" t="s">
        <v>224</v>
      </c>
      <c r="E20" s="4" t="s">
        <v>160</v>
      </c>
      <c r="F20" s="4" t="s">
        <v>225</v>
      </c>
    </row>
    <row r="21" spans="1:6" ht="28.5" x14ac:dyDescent="0.25">
      <c r="A21" s="4" t="s">
        <v>226</v>
      </c>
      <c r="B21" s="4" t="s">
        <v>210</v>
      </c>
      <c r="C21" s="4" t="s">
        <v>227</v>
      </c>
      <c r="D21" s="4" t="s">
        <v>228</v>
      </c>
      <c r="E21" s="4" t="s">
        <v>160</v>
      </c>
      <c r="F21" s="4" t="s">
        <v>229</v>
      </c>
    </row>
    <row r="22" spans="1:6" ht="28.5" x14ac:dyDescent="0.25">
      <c r="A22" s="4" t="s">
        <v>89</v>
      </c>
      <c r="B22" s="4" t="s">
        <v>210</v>
      </c>
      <c r="C22" s="4" t="s">
        <v>230</v>
      </c>
      <c r="D22" s="4" t="s">
        <v>231</v>
      </c>
      <c r="E22" s="4" t="s">
        <v>160</v>
      </c>
      <c r="F22" s="4" t="s">
        <v>232</v>
      </c>
    </row>
    <row r="23" spans="1:6" ht="28.5" x14ac:dyDescent="0.25">
      <c r="A23" s="4" t="s">
        <v>233</v>
      </c>
      <c r="B23" s="4" t="s">
        <v>210</v>
      </c>
      <c r="C23" s="4" t="s">
        <v>234</v>
      </c>
      <c r="D23" s="4" t="s">
        <v>235</v>
      </c>
      <c r="E23" s="4" t="s">
        <v>160</v>
      </c>
      <c r="F23" s="4" t="s">
        <v>236</v>
      </c>
    </row>
    <row r="24" spans="1:6" ht="42.75" x14ac:dyDescent="0.25">
      <c r="A24" s="4" t="s">
        <v>237</v>
      </c>
      <c r="B24" s="4" t="s">
        <v>210</v>
      </c>
      <c r="C24" s="4" t="s">
        <v>238</v>
      </c>
      <c r="D24" s="4" t="s">
        <v>239</v>
      </c>
      <c r="E24" s="4" t="s">
        <v>160</v>
      </c>
      <c r="F24" s="4" t="s">
        <v>240</v>
      </c>
    </row>
    <row r="25" spans="1:6" ht="28.5" x14ac:dyDescent="0.25">
      <c r="A25" s="4" t="s">
        <v>241</v>
      </c>
      <c r="B25" s="4" t="s">
        <v>210</v>
      </c>
      <c r="C25" s="4" t="s">
        <v>242</v>
      </c>
      <c r="D25" s="4" t="s">
        <v>243</v>
      </c>
      <c r="E25" s="4" t="s">
        <v>198</v>
      </c>
      <c r="F25" s="4" t="s">
        <v>244</v>
      </c>
    </row>
    <row r="26" spans="1:6" ht="28.5" x14ac:dyDescent="0.25">
      <c r="A26" s="4" t="s">
        <v>245</v>
      </c>
      <c r="B26" s="4" t="s">
        <v>210</v>
      </c>
      <c r="C26" s="4" t="s">
        <v>246</v>
      </c>
      <c r="D26" s="4" t="s">
        <v>247</v>
      </c>
      <c r="E26" s="4" t="s">
        <v>160</v>
      </c>
      <c r="F26" s="4" t="s">
        <v>248</v>
      </c>
    </row>
    <row r="27" spans="1:6" ht="42.75" x14ac:dyDescent="0.25">
      <c r="A27" s="4" t="s">
        <v>249</v>
      </c>
      <c r="B27" s="4" t="s">
        <v>210</v>
      </c>
      <c r="C27" s="4" t="s">
        <v>250</v>
      </c>
      <c r="D27" s="4" t="s">
        <v>251</v>
      </c>
      <c r="E27" s="4" t="s">
        <v>160</v>
      </c>
      <c r="F27" s="4" t="s">
        <v>252</v>
      </c>
    </row>
    <row r="28" spans="1:6" ht="28.5" x14ac:dyDescent="0.25">
      <c r="A28" s="4" t="s">
        <v>253</v>
      </c>
      <c r="B28" s="4" t="s">
        <v>210</v>
      </c>
      <c r="C28" s="4" t="s">
        <v>254</v>
      </c>
      <c r="D28" s="4" t="s">
        <v>255</v>
      </c>
      <c r="E28" s="4" t="s">
        <v>198</v>
      </c>
      <c r="F28" s="4" t="s">
        <v>256</v>
      </c>
    </row>
    <row r="29" spans="1:6" ht="28.5" x14ac:dyDescent="0.25">
      <c r="A29" s="4" t="s">
        <v>257</v>
      </c>
      <c r="B29" s="4" t="s">
        <v>210</v>
      </c>
      <c r="C29" s="4" t="s">
        <v>258</v>
      </c>
      <c r="D29" s="4" t="s">
        <v>259</v>
      </c>
      <c r="E29" s="4" t="s">
        <v>160</v>
      </c>
      <c r="F29" s="4" t="s">
        <v>260</v>
      </c>
    </row>
    <row r="30" spans="1:6" ht="28.5" x14ac:dyDescent="0.25">
      <c r="A30" s="4" t="s">
        <v>261</v>
      </c>
      <c r="B30" s="4" t="s">
        <v>210</v>
      </c>
      <c r="C30" s="4" t="s">
        <v>262</v>
      </c>
      <c r="D30" s="4" t="s">
        <v>263</v>
      </c>
      <c r="E30" s="4" t="s">
        <v>198</v>
      </c>
      <c r="F30" s="4" t="s">
        <v>264</v>
      </c>
    </row>
    <row r="31" spans="1:6" ht="30" x14ac:dyDescent="0.25">
      <c r="A31" s="10" t="s">
        <v>265</v>
      </c>
      <c r="B31" s="11"/>
      <c r="C31" s="11"/>
      <c r="D31" s="11"/>
      <c r="E31" s="11"/>
      <c r="F31" s="11"/>
    </row>
    <row r="32" spans="1:6" ht="28.5" x14ac:dyDescent="0.25">
      <c r="A32" s="4" t="s">
        <v>266</v>
      </c>
      <c r="B32" s="4" t="s">
        <v>267</v>
      </c>
      <c r="C32" s="4" t="s">
        <v>268</v>
      </c>
      <c r="D32" s="4" t="s">
        <v>269</v>
      </c>
      <c r="E32" s="4" t="s">
        <v>160</v>
      </c>
      <c r="F32" s="4" t="s">
        <v>270</v>
      </c>
    </row>
    <row r="33" spans="1:6" ht="42.75" x14ac:dyDescent="0.25">
      <c r="A33" s="4" t="s">
        <v>271</v>
      </c>
      <c r="B33" s="4" t="s">
        <v>267</v>
      </c>
      <c r="C33" s="4" t="s">
        <v>272</v>
      </c>
      <c r="D33" s="4" t="s">
        <v>273</v>
      </c>
      <c r="E33" s="4" t="s">
        <v>160</v>
      </c>
      <c r="F33" s="4" t="s">
        <v>274</v>
      </c>
    </row>
    <row r="34" spans="1:6" ht="28.5" x14ac:dyDescent="0.25">
      <c r="A34" s="4" t="s">
        <v>275</v>
      </c>
      <c r="B34" s="4" t="s">
        <v>267</v>
      </c>
      <c r="C34" s="4" t="s">
        <v>276</v>
      </c>
      <c r="D34" s="4" t="s">
        <v>277</v>
      </c>
      <c r="E34" s="4" t="s">
        <v>160</v>
      </c>
      <c r="F34" s="4" t="s">
        <v>278</v>
      </c>
    </row>
    <row r="35" spans="1:6" ht="42.75" x14ac:dyDescent="0.25">
      <c r="A35" s="4" t="s">
        <v>279</v>
      </c>
      <c r="B35" s="4" t="s">
        <v>267</v>
      </c>
      <c r="C35" s="4" t="s">
        <v>280</v>
      </c>
      <c r="D35" s="4" t="s">
        <v>281</v>
      </c>
      <c r="E35" s="4" t="s">
        <v>160</v>
      </c>
      <c r="F35" s="4" t="s">
        <v>282</v>
      </c>
    </row>
    <row r="36" spans="1:6" ht="30" x14ac:dyDescent="0.25">
      <c r="A36" s="10" t="s">
        <v>283</v>
      </c>
      <c r="B36" s="11"/>
      <c r="C36" s="11"/>
      <c r="D36" s="11"/>
      <c r="E36" s="11"/>
      <c r="F36" s="11"/>
    </row>
    <row r="37" spans="1:6" ht="28.5" x14ac:dyDescent="0.25">
      <c r="A37" s="4" t="s">
        <v>284</v>
      </c>
      <c r="B37" s="4" t="s">
        <v>285</v>
      </c>
      <c r="C37" s="4" t="s">
        <v>286</v>
      </c>
      <c r="D37" s="4" t="s">
        <v>287</v>
      </c>
      <c r="E37" s="4" t="s">
        <v>160</v>
      </c>
      <c r="F37" s="4" t="s">
        <v>288</v>
      </c>
    </row>
    <row r="38" spans="1:6" ht="42.75" x14ac:dyDescent="0.25">
      <c r="A38" s="4" t="s">
        <v>289</v>
      </c>
      <c r="B38" s="4" t="s">
        <v>285</v>
      </c>
      <c r="C38" s="4" t="s">
        <v>290</v>
      </c>
      <c r="D38" s="4" t="s">
        <v>291</v>
      </c>
      <c r="E38" s="4" t="s">
        <v>160</v>
      </c>
      <c r="F38" s="4" t="s">
        <v>292</v>
      </c>
    </row>
    <row r="39" spans="1:6" ht="28.5" x14ac:dyDescent="0.25">
      <c r="A39" s="4" t="s">
        <v>293</v>
      </c>
      <c r="B39" s="4" t="s">
        <v>285</v>
      </c>
      <c r="C39" s="4" t="s">
        <v>294</v>
      </c>
      <c r="D39" s="4" t="s">
        <v>295</v>
      </c>
      <c r="E39" s="4" t="s">
        <v>160</v>
      </c>
      <c r="F39" s="4" t="s">
        <v>296</v>
      </c>
    </row>
    <row r="40" spans="1:6" ht="28.5" x14ac:dyDescent="0.25">
      <c r="A40" s="4" t="s">
        <v>297</v>
      </c>
      <c r="B40" s="4" t="s">
        <v>285</v>
      </c>
      <c r="C40" s="4" t="s">
        <v>298</v>
      </c>
      <c r="D40" s="4" t="s">
        <v>299</v>
      </c>
      <c r="E40" s="4" t="s">
        <v>160</v>
      </c>
      <c r="F40" s="4" t="s">
        <v>300</v>
      </c>
    </row>
    <row r="41" spans="1:6" ht="28.5" x14ac:dyDescent="0.25">
      <c r="A41" s="4" t="s">
        <v>301</v>
      </c>
      <c r="B41" s="4" t="s">
        <v>285</v>
      </c>
      <c r="C41" s="4" t="s">
        <v>302</v>
      </c>
      <c r="D41" s="4" t="s">
        <v>303</v>
      </c>
      <c r="E41" s="4" t="s">
        <v>160</v>
      </c>
      <c r="F41" s="4" t="s">
        <v>304</v>
      </c>
    </row>
    <row r="42" spans="1:6" ht="28.5" x14ac:dyDescent="0.25">
      <c r="A42" s="4" t="s">
        <v>305</v>
      </c>
      <c r="B42" s="4" t="s">
        <v>285</v>
      </c>
      <c r="C42" s="4" t="s">
        <v>306</v>
      </c>
      <c r="D42" s="4" t="s">
        <v>307</v>
      </c>
      <c r="E42" s="4" t="s">
        <v>160</v>
      </c>
      <c r="F42" s="4" t="s">
        <v>308</v>
      </c>
    </row>
    <row r="43" spans="1:6" x14ac:dyDescent="0.25">
      <c r="A43" s="4" t="s">
        <v>309</v>
      </c>
      <c r="B43" s="4" t="s">
        <v>285</v>
      </c>
      <c r="C43" s="4" t="s">
        <v>310</v>
      </c>
      <c r="D43" s="4" t="s">
        <v>311</v>
      </c>
      <c r="E43" s="4" t="s">
        <v>198</v>
      </c>
      <c r="F43" s="4" t="s">
        <v>312</v>
      </c>
    </row>
    <row r="44" spans="1:6" ht="28.5" x14ac:dyDescent="0.25">
      <c r="A44" s="4" t="s">
        <v>313</v>
      </c>
      <c r="B44" s="4" t="s">
        <v>285</v>
      </c>
      <c r="C44" s="4" t="s">
        <v>314</v>
      </c>
      <c r="D44" s="4" t="s">
        <v>315</v>
      </c>
      <c r="E44" s="4" t="s">
        <v>198</v>
      </c>
      <c r="F44" s="4" t="s">
        <v>316</v>
      </c>
    </row>
    <row r="45" spans="1:6" ht="42.75" x14ac:dyDescent="0.25">
      <c r="A45" s="4" t="s">
        <v>317</v>
      </c>
      <c r="B45" s="4" t="s">
        <v>285</v>
      </c>
      <c r="C45" s="4" t="s">
        <v>318</v>
      </c>
      <c r="D45" s="4" t="s">
        <v>319</v>
      </c>
      <c r="E45" s="4" t="s">
        <v>198</v>
      </c>
      <c r="F45" s="4" t="s">
        <v>320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9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7109375" defaultRowHeight="15" x14ac:dyDescent="0.25"/>
  <cols>
    <col min="1" max="1" width="8" customWidth="1"/>
    <col min="2" max="2" width="14" customWidth="1"/>
    <col min="3" max="3" width="20" customWidth="1"/>
    <col min="4" max="4" width="35" customWidth="1"/>
    <col min="5" max="5" width="55" customWidth="1"/>
    <col min="6" max="6" width="10" customWidth="1"/>
  </cols>
  <sheetData>
    <row r="1" spans="1:6" ht="30" x14ac:dyDescent="0.25">
      <c r="A1" s="3" t="s">
        <v>107</v>
      </c>
      <c r="B1" s="3" t="s">
        <v>321</v>
      </c>
      <c r="C1" s="3" t="s">
        <v>4</v>
      </c>
      <c r="D1" s="3" t="s">
        <v>322</v>
      </c>
      <c r="E1" s="3" t="s">
        <v>323</v>
      </c>
      <c r="F1" s="3" t="s">
        <v>324</v>
      </c>
    </row>
    <row r="2" spans="1:6" ht="71.25" x14ac:dyDescent="0.25">
      <c r="A2" s="4" t="s">
        <v>325</v>
      </c>
      <c r="B2" s="4" t="s">
        <v>47</v>
      </c>
      <c r="C2" s="4" t="s">
        <v>326</v>
      </c>
      <c r="D2" s="4" t="s">
        <v>327</v>
      </c>
      <c r="E2" s="4" t="s">
        <v>328</v>
      </c>
      <c r="F2" s="4" t="s">
        <v>329</v>
      </c>
    </row>
    <row r="3" spans="1:6" ht="28.5" x14ac:dyDescent="0.25">
      <c r="A3" s="4" t="s">
        <v>45</v>
      </c>
      <c r="B3" s="4" t="s">
        <v>214</v>
      </c>
      <c r="C3" s="4" t="s">
        <v>330</v>
      </c>
      <c r="D3" s="4" t="s">
        <v>331</v>
      </c>
      <c r="E3" s="4" t="s">
        <v>332</v>
      </c>
      <c r="F3" s="4" t="s">
        <v>333</v>
      </c>
    </row>
    <row r="4" spans="1:6" ht="28.5" x14ac:dyDescent="0.25">
      <c r="A4" s="4" t="s">
        <v>334</v>
      </c>
      <c r="B4" s="4" t="s">
        <v>335</v>
      </c>
      <c r="C4" s="4" t="s">
        <v>336</v>
      </c>
      <c r="D4" s="4" t="s">
        <v>337</v>
      </c>
      <c r="E4" s="4" t="s">
        <v>338</v>
      </c>
      <c r="F4" s="4" t="s">
        <v>160</v>
      </c>
    </row>
    <row r="5" spans="1:6" x14ac:dyDescent="0.25">
      <c r="A5" s="4" t="s">
        <v>40</v>
      </c>
      <c r="B5" s="4" t="s">
        <v>209</v>
      </c>
      <c r="C5" s="4" t="s">
        <v>339</v>
      </c>
      <c r="D5" s="4" t="s">
        <v>340</v>
      </c>
      <c r="E5" s="4" t="s">
        <v>341</v>
      </c>
      <c r="F5" s="4" t="s">
        <v>160</v>
      </c>
    </row>
    <row r="6" spans="1:6" ht="28.5" x14ac:dyDescent="0.25">
      <c r="A6" s="4" t="s">
        <v>42</v>
      </c>
      <c r="B6" s="4" t="s">
        <v>342</v>
      </c>
      <c r="C6" s="4" t="s">
        <v>343</v>
      </c>
      <c r="D6" s="4" t="s">
        <v>344</v>
      </c>
      <c r="E6" s="4" t="s">
        <v>345</v>
      </c>
      <c r="F6" s="4" t="s">
        <v>160</v>
      </c>
    </row>
    <row r="7" spans="1:6" ht="28.5" x14ac:dyDescent="0.25">
      <c r="A7" s="4" t="s">
        <v>59</v>
      </c>
      <c r="B7" s="4" t="s">
        <v>346</v>
      </c>
      <c r="C7" s="4" t="s">
        <v>347</v>
      </c>
      <c r="D7" s="4" t="s">
        <v>348</v>
      </c>
      <c r="E7" s="4" t="s">
        <v>349</v>
      </c>
      <c r="F7" s="4" t="s">
        <v>350</v>
      </c>
    </row>
    <row r="8" spans="1:6" ht="28.5" x14ac:dyDescent="0.25">
      <c r="A8" s="4" t="s">
        <v>73</v>
      </c>
      <c r="B8" s="4" t="s">
        <v>47</v>
      </c>
      <c r="C8" s="4" t="s">
        <v>351</v>
      </c>
      <c r="D8" s="4" t="s">
        <v>352</v>
      </c>
      <c r="E8" s="4" t="s">
        <v>353</v>
      </c>
      <c r="F8" s="4" t="s">
        <v>354</v>
      </c>
    </row>
    <row r="9" spans="1:6" ht="28.5" x14ac:dyDescent="0.25">
      <c r="A9" s="4" t="s">
        <v>355</v>
      </c>
      <c r="B9" s="4" t="s">
        <v>356</v>
      </c>
      <c r="C9" s="4" t="s">
        <v>357</v>
      </c>
      <c r="D9" s="4" t="s">
        <v>358</v>
      </c>
      <c r="E9" s="4" t="s">
        <v>359</v>
      </c>
      <c r="F9" s="4" t="s">
        <v>160</v>
      </c>
    </row>
    <row r="10" spans="1:6" ht="28.5" x14ac:dyDescent="0.25">
      <c r="A10" s="4" t="s">
        <v>360</v>
      </c>
      <c r="B10" s="4" t="s">
        <v>249</v>
      </c>
      <c r="C10" s="4" t="s">
        <v>361</v>
      </c>
      <c r="D10" s="4" t="s">
        <v>362</v>
      </c>
      <c r="E10" s="4" t="s">
        <v>363</v>
      </c>
      <c r="F10" s="4" t="s">
        <v>160</v>
      </c>
    </row>
    <row r="11" spans="1:6" ht="42.75" x14ac:dyDescent="0.25">
      <c r="A11" s="4" t="s">
        <v>84</v>
      </c>
      <c r="B11" s="4" t="s">
        <v>249</v>
      </c>
      <c r="C11" s="4" t="s">
        <v>364</v>
      </c>
      <c r="D11" s="4" t="s">
        <v>365</v>
      </c>
      <c r="E11" s="4" t="s">
        <v>366</v>
      </c>
      <c r="F11" s="4" t="s">
        <v>367</v>
      </c>
    </row>
    <row r="12" spans="1:6" ht="28.5" x14ac:dyDescent="0.25">
      <c r="A12" s="4" t="s">
        <v>368</v>
      </c>
      <c r="B12" s="4" t="s">
        <v>369</v>
      </c>
      <c r="C12" s="4" t="s">
        <v>370</v>
      </c>
      <c r="D12" s="4" t="s">
        <v>371</v>
      </c>
      <c r="E12" s="4" t="s">
        <v>372</v>
      </c>
      <c r="F12" s="4" t="s">
        <v>333</v>
      </c>
    </row>
    <row r="13" spans="1:6" ht="42.75" x14ac:dyDescent="0.25">
      <c r="A13" s="4" t="s">
        <v>100</v>
      </c>
      <c r="B13" s="4" t="s">
        <v>373</v>
      </c>
      <c r="C13" s="4" t="s">
        <v>374</v>
      </c>
      <c r="D13" s="4" t="s">
        <v>375</v>
      </c>
      <c r="E13" s="4" t="s">
        <v>376</v>
      </c>
      <c r="F13" s="4" t="s">
        <v>160</v>
      </c>
    </row>
    <row r="14" spans="1:6" ht="57" x14ac:dyDescent="0.25">
      <c r="A14" s="4" t="s">
        <v>377</v>
      </c>
      <c r="B14" s="4" t="s">
        <v>378</v>
      </c>
      <c r="C14" s="4" t="s">
        <v>379</v>
      </c>
      <c r="D14" s="4" t="s">
        <v>380</v>
      </c>
      <c r="E14" s="4" t="s">
        <v>381</v>
      </c>
      <c r="F14" s="4" t="s">
        <v>160</v>
      </c>
    </row>
    <row r="15" spans="1:6" ht="28.5" x14ac:dyDescent="0.25">
      <c r="A15" s="4" t="s">
        <v>103</v>
      </c>
      <c r="B15" s="4" t="s">
        <v>222</v>
      </c>
      <c r="C15" s="4" t="s">
        <v>382</v>
      </c>
      <c r="D15" s="4" t="s">
        <v>383</v>
      </c>
      <c r="E15" s="4" t="s">
        <v>384</v>
      </c>
      <c r="F15" s="4" t="s">
        <v>160</v>
      </c>
    </row>
    <row r="16" spans="1:6" ht="28.5" x14ac:dyDescent="0.25">
      <c r="A16" s="4" t="s">
        <v>385</v>
      </c>
      <c r="B16" s="4" t="s">
        <v>89</v>
      </c>
      <c r="C16" s="4" t="s">
        <v>386</v>
      </c>
      <c r="D16" s="4" t="s">
        <v>387</v>
      </c>
      <c r="E16" s="4" t="s">
        <v>388</v>
      </c>
      <c r="F16" s="4" t="s">
        <v>160</v>
      </c>
    </row>
    <row r="17" spans="1:6" ht="42.75" x14ac:dyDescent="0.25">
      <c r="A17" s="4" t="s">
        <v>389</v>
      </c>
      <c r="B17" s="4" t="s">
        <v>390</v>
      </c>
      <c r="C17" s="4" t="s">
        <v>391</v>
      </c>
      <c r="D17" s="4" t="s">
        <v>392</v>
      </c>
      <c r="E17" s="4" t="s">
        <v>393</v>
      </c>
      <c r="F17" s="4" t="s">
        <v>160</v>
      </c>
    </row>
    <row r="18" spans="1:6" ht="57" x14ac:dyDescent="0.25">
      <c r="A18" s="4" t="s">
        <v>394</v>
      </c>
      <c r="B18" s="4" t="s">
        <v>177</v>
      </c>
      <c r="C18" s="4" t="s">
        <v>395</v>
      </c>
      <c r="D18" s="4" t="s">
        <v>396</v>
      </c>
      <c r="E18" s="4" t="s">
        <v>397</v>
      </c>
      <c r="F18" s="4" t="s">
        <v>354</v>
      </c>
    </row>
    <row r="19" spans="1:6" ht="28.5" x14ac:dyDescent="0.25">
      <c r="A19" s="4" t="s">
        <v>398</v>
      </c>
      <c r="B19" s="4" t="s">
        <v>181</v>
      </c>
      <c r="C19" s="4" t="s">
        <v>399</v>
      </c>
      <c r="D19" s="4" t="s">
        <v>400</v>
      </c>
      <c r="E19" s="4" t="s">
        <v>401</v>
      </c>
      <c r="F19" s="4" t="s">
        <v>160</v>
      </c>
    </row>
    <row r="20" spans="1:6" ht="42.75" x14ac:dyDescent="0.25">
      <c r="A20" s="4" t="s">
        <v>402</v>
      </c>
      <c r="B20" s="4" t="s">
        <v>403</v>
      </c>
      <c r="C20" s="4" t="s">
        <v>404</v>
      </c>
      <c r="D20" s="4" t="s">
        <v>405</v>
      </c>
      <c r="E20" s="4" t="s">
        <v>406</v>
      </c>
      <c r="F20" s="4" t="s">
        <v>367</v>
      </c>
    </row>
    <row r="21" spans="1:6" ht="28.5" x14ac:dyDescent="0.25">
      <c r="A21" s="4" t="s">
        <v>407</v>
      </c>
      <c r="B21" s="4" t="s">
        <v>408</v>
      </c>
      <c r="C21" s="4" t="s">
        <v>409</v>
      </c>
      <c r="D21" s="4" t="s">
        <v>410</v>
      </c>
      <c r="E21" s="4" t="s">
        <v>411</v>
      </c>
      <c r="F21" s="4" t="s">
        <v>367</v>
      </c>
    </row>
    <row r="22" spans="1:6" ht="42.75" x14ac:dyDescent="0.25">
      <c r="A22" s="4" t="s">
        <v>412</v>
      </c>
      <c r="B22" s="4" t="s">
        <v>187</v>
      </c>
      <c r="C22" s="4" t="s">
        <v>413</v>
      </c>
      <c r="D22" s="4" t="s">
        <v>414</v>
      </c>
      <c r="E22" s="4" t="s">
        <v>415</v>
      </c>
      <c r="F22" s="4" t="s">
        <v>354</v>
      </c>
    </row>
    <row r="23" spans="1:6" ht="42.75" x14ac:dyDescent="0.25">
      <c r="A23" s="4" t="s">
        <v>416</v>
      </c>
      <c r="B23" s="4" t="s">
        <v>417</v>
      </c>
      <c r="C23" s="4" t="s">
        <v>418</v>
      </c>
      <c r="D23" s="4" t="s">
        <v>419</v>
      </c>
      <c r="E23" s="4" t="s">
        <v>420</v>
      </c>
      <c r="F23" s="4" t="s">
        <v>354</v>
      </c>
    </row>
    <row r="24" spans="1:6" ht="28.5" x14ac:dyDescent="0.25">
      <c r="A24" s="4" t="s">
        <v>421</v>
      </c>
      <c r="B24" s="4" t="s">
        <v>422</v>
      </c>
      <c r="C24" s="4" t="s">
        <v>423</v>
      </c>
      <c r="D24" s="4" t="s">
        <v>424</v>
      </c>
      <c r="E24" s="4" t="s">
        <v>425</v>
      </c>
      <c r="F24" s="4" t="s">
        <v>354</v>
      </c>
    </row>
    <row r="25" spans="1:6" ht="42.75" x14ac:dyDescent="0.25">
      <c r="A25" s="4" t="s">
        <v>426</v>
      </c>
      <c r="B25" s="4" t="s">
        <v>427</v>
      </c>
      <c r="C25" s="4" t="s">
        <v>428</v>
      </c>
      <c r="D25" s="4" t="s">
        <v>429</v>
      </c>
      <c r="E25" s="4" t="s">
        <v>430</v>
      </c>
      <c r="F25" s="4" t="s">
        <v>354</v>
      </c>
    </row>
    <row r="26" spans="1:6" ht="57" x14ac:dyDescent="0.25">
      <c r="A26" s="4" t="s">
        <v>431</v>
      </c>
      <c r="B26" s="4" t="s">
        <v>432</v>
      </c>
      <c r="C26" s="4" t="s">
        <v>433</v>
      </c>
      <c r="D26" s="4" t="s">
        <v>434</v>
      </c>
      <c r="E26" s="4" t="s">
        <v>435</v>
      </c>
      <c r="F26" s="4" t="s">
        <v>436</v>
      </c>
    </row>
    <row r="27" spans="1:6" ht="42.75" x14ac:dyDescent="0.25">
      <c r="A27" s="4" t="s">
        <v>437</v>
      </c>
      <c r="B27" s="4" t="s">
        <v>438</v>
      </c>
      <c r="C27" s="4" t="s">
        <v>439</v>
      </c>
      <c r="D27" s="4" t="s">
        <v>440</v>
      </c>
      <c r="E27" s="4" t="s">
        <v>441</v>
      </c>
      <c r="F27" s="4" t="s">
        <v>333</v>
      </c>
    </row>
    <row r="28" spans="1:6" ht="42.75" x14ac:dyDescent="0.25">
      <c r="A28" s="4" t="s">
        <v>442</v>
      </c>
      <c r="B28" s="4" t="s">
        <v>443</v>
      </c>
      <c r="C28" s="4" t="s">
        <v>444</v>
      </c>
      <c r="D28" s="4" t="s">
        <v>445</v>
      </c>
      <c r="E28" s="4" t="s">
        <v>446</v>
      </c>
      <c r="F28" s="4" t="s">
        <v>447</v>
      </c>
    </row>
    <row r="29" spans="1:6" ht="42.75" x14ac:dyDescent="0.25">
      <c r="A29" s="4" t="s">
        <v>448</v>
      </c>
      <c r="B29" s="4" t="s">
        <v>279</v>
      </c>
      <c r="C29" s="4" t="s">
        <v>449</v>
      </c>
      <c r="D29" s="4" t="s">
        <v>450</v>
      </c>
      <c r="E29" s="4" t="s">
        <v>451</v>
      </c>
      <c r="F29" s="4" t="s">
        <v>354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9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7109375" defaultRowHeight="15" x14ac:dyDescent="0.25"/>
  <cols>
    <col min="1" max="2" width="14" customWidth="1"/>
    <col min="3" max="3" width="18" customWidth="1"/>
    <col min="4" max="5" width="16" customWidth="1"/>
    <col min="6" max="6" width="18" customWidth="1"/>
  </cols>
  <sheetData>
    <row r="1" spans="1:6" x14ac:dyDescent="0.25">
      <c r="A1" s="3" t="s">
        <v>452</v>
      </c>
      <c r="B1" s="3" t="s">
        <v>453</v>
      </c>
      <c r="C1" s="3" t="s">
        <v>454</v>
      </c>
      <c r="D1" s="3" t="s">
        <v>452</v>
      </c>
      <c r="E1" s="3" t="s">
        <v>453</v>
      </c>
      <c r="F1" s="3" t="s">
        <v>454</v>
      </c>
    </row>
    <row r="2" spans="1:6" x14ac:dyDescent="0.25">
      <c r="A2" s="4" t="s">
        <v>47</v>
      </c>
      <c r="B2" s="4" t="s">
        <v>455</v>
      </c>
      <c r="C2" s="4" t="s">
        <v>456</v>
      </c>
      <c r="D2" s="4" t="s">
        <v>226</v>
      </c>
      <c r="E2" s="4" t="s">
        <v>457</v>
      </c>
      <c r="F2" s="4" t="s">
        <v>458</v>
      </c>
    </row>
    <row r="3" spans="1:6" x14ac:dyDescent="0.25">
      <c r="A3" s="4" t="s">
        <v>156</v>
      </c>
      <c r="B3" s="4" t="s">
        <v>459</v>
      </c>
      <c r="C3" s="4" t="s">
        <v>460</v>
      </c>
      <c r="D3" s="4" t="s">
        <v>89</v>
      </c>
      <c r="E3" s="4" t="s">
        <v>461</v>
      </c>
      <c r="F3" s="4" t="s">
        <v>462</v>
      </c>
    </row>
    <row r="4" spans="1:6" x14ac:dyDescent="0.25">
      <c r="A4" s="4" t="s">
        <v>162</v>
      </c>
      <c r="B4" s="4" t="s">
        <v>463</v>
      </c>
      <c r="C4" s="4" t="s">
        <v>464</v>
      </c>
      <c r="D4" s="4" t="s">
        <v>233</v>
      </c>
      <c r="E4" s="4" t="s">
        <v>465</v>
      </c>
      <c r="F4" s="4" t="s">
        <v>462</v>
      </c>
    </row>
    <row r="5" spans="1:6" x14ac:dyDescent="0.25">
      <c r="A5" s="4" t="s">
        <v>166</v>
      </c>
      <c r="B5" s="4" t="s">
        <v>466</v>
      </c>
      <c r="C5" s="4" t="s">
        <v>467</v>
      </c>
      <c r="D5" s="4" t="s">
        <v>237</v>
      </c>
      <c r="E5" s="4" t="s">
        <v>468</v>
      </c>
      <c r="F5" s="4" t="s">
        <v>469</v>
      </c>
    </row>
    <row r="6" spans="1:6" x14ac:dyDescent="0.25">
      <c r="A6" s="4" t="s">
        <v>170</v>
      </c>
      <c r="B6" s="4" t="s">
        <v>470</v>
      </c>
      <c r="C6" s="4" t="s">
        <v>471</v>
      </c>
      <c r="D6" s="4" t="s">
        <v>241</v>
      </c>
      <c r="E6" s="4" t="s">
        <v>472</v>
      </c>
      <c r="F6" s="4" t="s">
        <v>473</v>
      </c>
    </row>
    <row r="7" spans="1:6" x14ac:dyDescent="0.25">
      <c r="A7" s="4" t="s">
        <v>174</v>
      </c>
      <c r="B7" s="4" t="s">
        <v>470</v>
      </c>
      <c r="C7" s="4" t="s">
        <v>471</v>
      </c>
      <c r="D7" s="4" t="s">
        <v>245</v>
      </c>
      <c r="E7" s="4" t="s">
        <v>474</v>
      </c>
      <c r="F7" s="4" t="s">
        <v>475</v>
      </c>
    </row>
    <row r="8" spans="1:6" x14ac:dyDescent="0.25">
      <c r="A8" s="4" t="s">
        <v>177</v>
      </c>
      <c r="B8" s="4" t="s">
        <v>476</v>
      </c>
      <c r="C8" s="4" t="s">
        <v>477</v>
      </c>
      <c r="D8" s="4" t="s">
        <v>249</v>
      </c>
      <c r="E8" s="4" t="s">
        <v>478</v>
      </c>
      <c r="F8" s="4" t="s">
        <v>464</v>
      </c>
    </row>
    <row r="9" spans="1:6" x14ac:dyDescent="0.25">
      <c r="A9" s="4" t="s">
        <v>181</v>
      </c>
      <c r="B9" s="4" t="s">
        <v>479</v>
      </c>
      <c r="C9" s="4" t="s">
        <v>480</v>
      </c>
      <c r="D9" s="4" t="s">
        <v>253</v>
      </c>
      <c r="E9" s="4" t="s">
        <v>481</v>
      </c>
      <c r="F9" s="4" t="s">
        <v>464</v>
      </c>
    </row>
    <row r="10" spans="1:6" x14ac:dyDescent="0.25">
      <c r="A10" s="4" t="s">
        <v>184</v>
      </c>
      <c r="B10" s="4" t="s">
        <v>482</v>
      </c>
      <c r="C10" s="4" t="s">
        <v>469</v>
      </c>
      <c r="D10" s="4" t="s">
        <v>257</v>
      </c>
      <c r="E10" s="4" t="s">
        <v>483</v>
      </c>
      <c r="F10" s="4" t="s">
        <v>484</v>
      </c>
    </row>
    <row r="11" spans="1:6" x14ac:dyDescent="0.25">
      <c r="A11" s="4" t="s">
        <v>187</v>
      </c>
      <c r="B11" s="4" t="s">
        <v>485</v>
      </c>
      <c r="C11" s="4" t="s">
        <v>473</v>
      </c>
      <c r="D11" s="4" t="s">
        <v>261</v>
      </c>
      <c r="E11" s="4" t="s">
        <v>486</v>
      </c>
      <c r="F11" s="4" t="s">
        <v>487</v>
      </c>
    </row>
    <row r="12" spans="1:6" x14ac:dyDescent="0.25">
      <c r="A12" s="4" t="s">
        <v>191</v>
      </c>
      <c r="B12" s="4" t="s">
        <v>488</v>
      </c>
      <c r="C12" s="4" t="s">
        <v>473</v>
      </c>
      <c r="D12" s="4" t="s">
        <v>443</v>
      </c>
      <c r="E12" s="4" t="s">
        <v>489</v>
      </c>
      <c r="F12" s="4" t="s">
        <v>487</v>
      </c>
    </row>
    <row r="13" spans="1:6" x14ac:dyDescent="0.25">
      <c r="A13" s="4" t="s">
        <v>195</v>
      </c>
      <c r="B13" s="4" t="s">
        <v>481</v>
      </c>
      <c r="C13" s="4" t="s">
        <v>464</v>
      </c>
      <c r="D13" s="4" t="s">
        <v>266</v>
      </c>
      <c r="E13" s="4" t="s">
        <v>490</v>
      </c>
      <c r="F13" s="4" t="s">
        <v>487</v>
      </c>
    </row>
    <row r="14" spans="1:6" x14ac:dyDescent="0.25">
      <c r="A14" s="4" t="s">
        <v>200</v>
      </c>
      <c r="B14" s="4" t="s">
        <v>483</v>
      </c>
      <c r="C14" s="4" t="s">
        <v>484</v>
      </c>
      <c r="D14" s="4" t="s">
        <v>271</v>
      </c>
      <c r="E14" s="4" t="s">
        <v>491</v>
      </c>
      <c r="F14" s="4" t="s">
        <v>484</v>
      </c>
    </row>
    <row r="15" spans="1:6" ht="28.5" x14ac:dyDescent="0.25">
      <c r="A15" s="4" t="s">
        <v>204</v>
      </c>
      <c r="B15" s="4" t="s">
        <v>492</v>
      </c>
      <c r="C15" s="4" t="s">
        <v>493</v>
      </c>
      <c r="D15" s="4" t="s">
        <v>494</v>
      </c>
      <c r="E15" s="4" t="s">
        <v>495</v>
      </c>
      <c r="F15" s="4" t="s">
        <v>496</v>
      </c>
    </row>
    <row r="16" spans="1:6" x14ac:dyDescent="0.25">
      <c r="A16" s="4" t="s">
        <v>335</v>
      </c>
      <c r="B16" s="4" t="s">
        <v>497</v>
      </c>
      <c r="C16" s="4" t="s">
        <v>498</v>
      </c>
      <c r="D16" s="4" t="s">
        <v>279</v>
      </c>
      <c r="E16" s="4" t="s">
        <v>499</v>
      </c>
      <c r="F16" s="4" t="s">
        <v>500</v>
      </c>
    </row>
    <row r="17" spans="1:6" x14ac:dyDescent="0.25">
      <c r="A17" s="4" t="s">
        <v>209</v>
      </c>
      <c r="B17" s="4" t="s">
        <v>501</v>
      </c>
      <c r="C17" s="4" t="s">
        <v>498</v>
      </c>
      <c r="D17" s="4" t="s">
        <v>502</v>
      </c>
      <c r="E17" s="4" t="s">
        <v>503</v>
      </c>
      <c r="F17" s="4" t="s">
        <v>473</v>
      </c>
    </row>
    <row r="18" spans="1:6" x14ac:dyDescent="0.25">
      <c r="A18" s="4" t="s">
        <v>214</v>
      </c>
      <c r="B18" s="4" t="s">
        <v>504</v>
      </c>
      <c r="C18" s="4" t="s">
        <v>498</v>
      </c>
      <c r="D18" s="4" t="s">
        <v>317</v>
      </c>
      <c r="E18" s="4" t="s">
        <v>505</v>
      </c>
      <c r="F18" s="4" t="s">
        <v>487</v>
      </c>
    </row>
    <row r="19" spans="1:6" x14ac:dyDescent="0.25">
      <c r="A19" s="4" t="s">
        <v>506</v>
      </c>
      <c r="B19" s="4" t="s">
        <v>507</v>
      </c>
      <c r="C19" s="4" t="s">
        <v>508</v>
      </c>
      <c r="D19" s="4" t="s">
        <v>509</v>
      </c>
      <c r="E19" s="4" t="s">
        <v>510</v>
      </c>
      <c r="F19" s="4" t="s">
        <v>511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3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7109375" defaultRowHeight="15" x14ac:dyDescent="0.25"/>
  <cols>
    <col min="1" max="1" width="22" customWidth="1"/>
    <col min="2" max="2" width="9" customWidth="1"/>
    <col min="3" max="4" width="40" customWidth="1"/>
    <col min="5" max="5" width="35" customWidth="1"/>
  </cols>
  <sheetData>
    <row r="1" spans="1:5" x14ac:dyDescent="0.25">
      <c r="A1" s="3" t="s">
        <v>512</v>
      </c>
      <c r="B1" s="3" t="s">
        <v>150</v>
      </c>
      <c r="C1" s="3" t="s">
        <v>513</v>
      </c>
      <c r="D1" s="3" t="s">
        <v>514</v>
      </c>
      <c r="E1" s="3" t="s">
        <v>515</v>
      </c>
    </row>
    <row r="2" spans="1:5" ht="28.5" x14ac:dyDescent="0.25">
      <c r="A2" s="4" t="s">
        <v>516</v>
      </c>
      <c r="B2" s="4" t="s">
        <v>517</v>
      </c>
      <c r="C2" s="4" t="s">
        <v>518</v>
      </c>
      <c r="D2" s="4" t="s">
        <v>519</v>
      </c>
      <c r="E2" s="4" t="s">
        <v>520</v>
      </c>
    </row>
    <row r="3" spans="1:5" ht="42.75" x14ac:dyDescent="0.25">
      <c r="A3" s="4" t="s">
        <v>521</v>
      </c>
      <c r="B3" s="4" t="s">
        <v>522</v>
      </c>
      <c r="C3" s="4" t="s">
        <v>523</v>
      </c>
      <c r="D3" s="4" t="s">
        <v>524</v>
      </c>
      <c r="E3" s="4" t="s">
        <v>525</v>
      </c>
    </row>
    <row r="4" spans="1:5" ht="28.5" x14ac:dyDescent="0.25">
      <c r="A4" s="4" t="s">
        <v>526</v>
      </c>
      <c r="B4" s="4" t="s">
        <v>522</v>
      </c>
      <c r="C4" s="4" t="s">
        <v>527</v>
      </c>
      <c r="D4" s="4" t="s">
        <v>528</v>
      </c>
      <c r="E4" s="4" t="s">
        <v>529</v>
      </c>
    </row>
    <row r="5" spans="1:5" ht="28.5" x14ac:dyDescent="0.25">
      <c r="A5" s="4" t="s">
        <v>530</v>
      </c>
      <c r="B5" s="4" t="s">
        <v>522</v>
      </c>
      <c r="C5" s="4" t="s">
        <v>531</v>
      </c>
      <c r="D5" s="4" t="s">
        <v>532</v>
      </c>
      <c r="E5" s="4" t="s">
        <v>533</v>
      </c>
    </row>
    <row r="6" spans="1:5" ht="42.75" x14ac:dyDescent="0.25">
      <c r="A6" s="4" t="s">
        <v>534</v>
      </c>
      <c r="B6" s="4" t="s">
        <v>522</v>
      </c>
      <c r="C6" s="4" t="s">
        <v>535</v>
      </c>
      <c r="D6" s="4" t="s">
        <v>536</v>
      </c>
      <c r="E6" s="4" t="s">
        <v>537</v>
      </c>
    </row>
    <row r="7" spans="1:5" ht="42.75" x14ac:dyDescent="0.25">
      <c r="A7" s="4" t="s">
        <v>538</v>
      </c>
      <c r="B7" s="4" t="s">
        <v>539</v>
      </c>
      <c r="C7" s="4" t="s">
        <v>540</v>
      </c>
      <c r="D7" s="4" t="s">
        <v>541</v>
      </c>
      <c r="E7" s="4" t="s">
        <v>542</v>
      </c>
    </row>
    <row r="8" spans="1:5" ht="42.75" x14ac:dyDescent="0.25">
      <c r="A8" s="4" t="s">
        <v>543</v>
      </c>
      <c r="B8" s="4" t="s">
        <v>522</v>
      </c>
      <c r="C8" s="4" t="s">
        <v>544</v>
      </c>
      <c r="D8" s="4" t="s">
        <v>545</v>
      </c>
      <c r="E8" s="4" t="s">
        <v>546</v>
      </c>
    </row>
    <row r="9" spans="1:5" ht="28.5" x14ac:dyDescent="0.25">
      <c r="A9" s="4" t="s">
        <v>547</v>
      </c>
      <c r="B9" s="4" t="s">
        <v>522</v>
      </c>
      <c r="C9" s="4" t="s">
        <v>548</v>
      </c>
      <c r="D9" s="4" t="s">
        <v>549</v>
      </c>
      <c r="E9" s="4" t="s">
        <v>550</v>
      </c>
    </row>
    <row r="10" spans="1:5" ht="28.5" x14ac:dyDescent="0.25">
      <c r="A10" s="4" t="s">
        <v>551</v>
      </c>
      <c r="B10" s="4" t="s">
        <v>522</v>
      </c>
      <c r="C10" s="4" t="s">
        <v>552</v>
      </c>
      <c r="D10" s="4" t="s">
        <v>553</v>
      </c>
      <c r="E10" s="4" t="s">
        <v>554</v>
      </c>
    </row>
    <row r="11" spans="1:5" x14ac:dyDescent="0.25">
      <c r="A11" s="4" t="s">
        <v>555</v>
      </c>
      <c r="B11" s="4" t="s">
        <v>522</v>
      </c>
      <c r="C11" s="4" t="s">
        <v>556</v>
      </c>
      <c r="D11" s="4" t="s">
        <v>557</v>
      </c>
      <c r="E11" s="4" t="s">
        <v>558</v>
      </c>
    </row>
    <row r="12" spans="1:5" ht="28.5" x14ac:dyDescent="0.25">
      <c r="A12" s="4" t="s">
        <v>559</v>
      </c>
      <c r="B12" s="4" t="s">
        <v>560</v>
      </c>
      <c r="C12" s="4" t="s">
        <v>561</v>
      </c>
      <c r="D12" s="4" t="s">
        <v>562</v>
      </c>
      <c r="E12" s="4" t="s">
        <v>563</v>
      </c>
    </row>
    <row r="13" spans="1:5" ht="28.5" x14ac:dyDescent="0.25">
      <c r="A13" s="4" t="s">
        <v>564</v>
      </c>
      <c r="B13" s="4" t="s">
        <v>522</v>
      </c>
      <c r="C13" s="4" t="s">
        <v>565</v>
      </c>
      <c r="D13" s="4" t="s">
        <v>566</v>
      </c>
      <c r="E13" s="4" t="s">
        <v>567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7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7109375" defaultRowHeight="15" x14ac:dyDescent="0.25"/>
  <cols>
    <col min="1" max="1" width="16" customWidth="1"/>
    <col min="2" max="2" width="55" customWidth="1"/>
    <col min="3" max="3" width="45" customWidth="1"/>
  </cols>
  <sheetData>
    <row r="1" spans="1:3" x14ac:dyDescent="0.25">
      <c r="A1" s="3" t="s">
        <v>568</v>
      </c>
      <c r="B1" s="3" t="s">
        <v>569</v>
      </c>
      <c r="C1" s="3" t="s">
        <v>570</v>
      </c>
    </row>
    <row r="2" spans="1:3" ht="42.75" x14ac:dyDescent="0.25">
      <c r="A2" s="4" t="s">
        <v>571</v>
      </c>
      <c r="B2" s="4" t="s">
        <v>572</v>
      </c>
      <c r="C2" s="4" t="s">
        <v>573</v>
      </c>
    </row>
    <row r="3" spans="1:3" ht="28.5" x14ac:dyDescent="0.25">
      <c r="A3" s="4" t="s">
        <v>574</v>
      </c>
      <c r="B3" s="4" t="s">
        <v>575</v>
      </c>
      <c r="C3" s="4" t="s">
        <v>576</v>
      </c>
    </row>
    <row r="4" spans="1:3" ht="28.5" x14ac:dyDescent="0.25">
      <c r="A4" s="4" t="s">
        <v>370</v>
      </c>
      <c r="B4" s="4" t="s">
        <v>577</v>
      </c>
      <c r="C4" s="4" t="s">
        <v>578</v>
      </c>
    </row>
    <row r="5" spans="1:3" ht="28.5" x14ac:dyDescent="0.25">
      <c r="A5" s="4" t="s">
        <v>579</v>
      </c>
      <c r="B5" s="4" t="s">
        <v>580</v>
      </c>
      <c r="C5" s="4" t="s">
        <v>581</v>
      </c>
    </row>
    <row r="6" spans="1:3" ht="71.25" x14ac:dyDescent="0.25">
      <c r="A6" s="4" t="s">
        <v>582</v>
      </c>
      <c r="B6" s="4" t="s">
        <v>583</v>
      </c>
      <c r="C6" s="4" t="s">
        <v>584</v>
      </c>
    </row>
    <row r="7" spans="1:3" ht="42.75" x14ac:dyDescent="0.25">
      <c r="A7" s="4" t="s">
        <v>585</v>
      </c>
      <c r="B7" s="4" t="s">
        <v>586</v>
      </c>
      <c r="C7" s="4" t="s">
        <v>587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9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7109375" defaultRowHeight="15" x14ac:dyDescent="0.25"/>
  <cols>
    <col min="1" max="1" width="18" customWidth="1"/>
    <col min="2" max="3" width="45" customWidth="1"/>
    <col min="4" max="4" width="55" customWidth="1"/>
  </cols>
  <sheetData>
    <row r="1" spans="1:4" x14ac:dyDescent="0.25">
      <c r="A1" s="3" t="s">
        <v>588</v>
      </c>
      <c r="B1" s="3" t="s">
        <v>589</v>
      </c>
      <c r="C1" s="3" t="s">
        <v>590</v>
      </c>
      <c r="D1" s="3" t="s">
        <v>591</v>
      </c>
    </row>
    <row r="2" spans="1:4" ht="57" x14ac:dyDescent="0.25">
      <c r="A2" s="4" t="s">
        <v>592</v>
      </c>
      <c r="B2" s="4" t="s">
        <v>593</v>
      </c>
      <c r="C2" s="4" t="s">
        <v>594</v>
      </c>
      <c r="D2" s="4" t="s">
        <v>595</v>
      </c>
    </row>
    <row r="3" spans="1:4" ht="42.75" x14ac:dyDescent="0.25">
      <c r="A3" s="4" t="s">
        <v>596</v>
      </c>
      <c r="B3" s="4" t="s">
        <v>597</v>
      </c>
      <c r="C3" s="4" t="s">
        <v>598</v>
      </c>
      <c r="D3" s="4" t="s">
        <v>599</v>
      </c>
    </row>
    <row r="4" spans="1:4" ht="42.75" x14ac:dyDescent="0.25">
      <c r="A4" s="4" t="s">
        <v>600</v>
      </c>
      <c r="B4" s="4" t="s">
        <v>601</v>
      </c>
      <c r="C4" s="4" t="s">
        <v>602</v>
      </c>
      <c r="D4" s="4" t="s">
        <v>603</v>
      </c>
    </row>
    <row r="5" spans="1:4" ht="42.75" x14ac:dyDescent="0.25">
      <c r="A5" s="4" t="s">
        <v>604</v>
      </c>
      <c r="B5" s="4" t="s">
        <v>605</v>
      </c>
      <c r="C5" s="4" t="s">
        <v>606</v>
      </c>
      <c r="D5" s="4" t="s">
        <v>607</v>
      </c>
    </row>
    <row r="6" spans="1:4" ht="57" x14ac:dyDescent="0.25">
      <c r="A6" s="4" t="s">
        <v>608</v>
      </c>
      <c r="B6" s="4" t="s">
        <v>609</v>
      </c>
      <c r="C6" s="4" t="s">
        <v>610</v>
      </c>
      <c r="D6" s="4" t="s">
        <v>611</v>
      </c>
    </row>
    <row r="7" spans="1:4" ht="28.5" x14ac:dyDescent="0.25">
      <c r="A7" s="4" t="s">
        <v>612</v>
      </c>
      <c r="B7" s="4" t="s">
        <v>613</v>
      </c>
      <c r="C7" s="4" t="s">
        <v>614</v>
      </c>
      <c r="D7" s="4" t="s">
        <v>615</v>
      </c>
    </row>
    <row r="8" spans="1:4" ht="28.5" x14ac:dyDescent="0.25">
      <c r="A8" s="4" t="s">
        <v>616</v>
      </c>
      <c r="B8" s="4" t="s">
        <v>617</v>
      </c>
      <c r="C8" s="4" t="s">
        <v>618</v>
      </c>
      <c r="D8" s="4" t="s">
        <v>619</v>
      </c>
    </row>
    <row r="9" spans="1:4" ht="71.25" x14ac:dyDescent="0.25">
      <c r="A9" s="4" t="s">
        <v>620</v>
      </c>
      <c r="B9" s="4" t="s">
        <v>621</v>
      </c>
      <c r="C9" s="4" t="s">
        <v>622</v>
      </c>
      <c r="D9" s="4" t="s">
        <v>623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4"/>
  <sheetViews>
    <sheetView zoomScaleNormal="100" workbookViewId="0"/>
  </sheetViews>
  <sheetFormatPr baseColWidth="10" defaultColWidth="8.7109375" defaultRowHeight="15" x14ac:dyDescent="0.25"/>
  <cols>
    <col min="1" max="1" width="30" customWidth="1"/>
    <col min="2" max="2" width="8" customWidth="1"/>
    <col min="3" max="4" width="6" customWidth="1"/>
    <col min="5" max="5" width="14" customWidth="1"/>
    <col min="6" max="6" width="70" customWidth="1"/>
  </cols>
  <sheetData>
    <row r="1" spans="1:6" ht="30" x14ac:dyDescent="0.25">
      <c r="A1" s="3" t="s">
        <v>624</v>
      </c>
      <c r="B1" s="3" t="s">
        <v>625</v>
      </c>
      <c r="C1" s="3" t="s">
        <v>160</v>
      </c>
      <c r="D1" s="3" t="s">
        <v>626</v>
      </c>
      <c r="E1" s="3" t="s">
        <v>627</v>
      </c>
      <c r="F1" s="3" t="s">
        <v>515</v>
      </c>
    </row>
    <row r="2" spans="1:6" ht="28.5" x14ac:dyDescent="0.25">
      <c r="A2" s="4" t="s">
        <v>628</v>
      </c>
      <c r="B2" s="12">
        <v>25</v>
      </c>
      <c r="C2" s="12">
        <v>4</v>
      </c>
      <c r="D2" s="12">
        <v>3</v>
      </c>
      <c r="E2" s="12">
        <v>10</v>
      </c>
      <c r="F2" s="4" t="s">
        <v>629</v>
      </c>
    </row>
    <row r="3" spans="1:6" x14ac:dyDescent="0.25">
      <c r="A3" s="4" t="s">
        <v>630</v>
      </c>
      <c r="B3" s="12">
        <v>20</v>
      </c>
      <c r="C3" s="12">
        <v>4</v>
      </c>
      <c r="D3" s="12">
        <v>2</v>
      </c>
      <c r="E3" s="12">
        <v>20</v>
      </c>
      <c r="F3" s="4" t="s">
        <v>631</v>
      </c>
    </row>
    <row r="4" spans="1:6" ht="42.75" x14ac:dyDescent="0.25">
      <c r="A4" s="4" t="s">
        <v>632</v>
      </c>
      <c r="B4" s="12">
        <v>15</v>
      </c>
      <c r="C4" s="12">
        <v>3</v>
      </c>
      <c r="D4" s="12">
        <v>5</v>
      </c>
      <c r="E4" s="12">
        <v>30</v>
      </c>
      <c r="F4" s="4" t="s">
        <v>633</v>
      </c>
    </row>
    <row r="5" spans="1:6" x14ac:dyDescent="0.25">
      <c r="A5" s="4" t="s">
        <v>634</v>
      </c>
      <c r="B5" s="12">
        <v>15</v>
      </c>
      <c r="C5" s="12">
        <v>4</v>
      </c>
      <c r="D5" s="12">
        <v>2</v>
      </c>
      <c r="E5" s="12">
        <v>15</v>
      </c>
      <c r="F5" s="4" t="s">
        <v>635</v>
      </c>
    </row>
    <row r="6" spans="1:6" ht="28.5" x14ac:dyDescent="0.25">
      <c r="A6" s="4" t="s">
        <v>636</v>
      </c>
      <c r="B6" s="12">
        <v>10</v>
      </c>
      <c r="C6" s="12">
        <v>4</v>
      </c>
      <c r="D6" s="12">
        <v>3</v>
      </c>
      <c r="E6" s="12">
        <v>10</v>
      </c>
      <c r="F6" s="4" t="s">
        <v>637</v>
      </c>
    </row>
    <row r="7" spans="1:6" ht="28.5" x14ac:dyDescent="0.25">
      <c r="A7" s="4" t="s">
        <v>638</v>
      </c>
      <c r="B7" s="12">
        <v>10</v>
      </c>
      <c r="C7" s="12">
        <v>3</v>
      </c>
      <c r="D7" s="12">
        <v>2</v>
      </c>
      <c r="E7" s="12">
        <v>10</v>
      </c>
      <c r="F7" s="4" t="s">
        <v>639</v>
      </c>
    </row>
    <row r="8" spans="1:6" x14ac:dyDescent="0.25">
      <c r="A8" s="4" t="s">
        <v>640</v>
      </c>
      <c r="B8" s="12">
        <v>5</v>
      </c>
      <c r="C8" s="12">
        <v>4</v>
      </c>
      <c r="D8" s="12">
        <v>3</v>
      </c>
      <c r="E8" s="12">
        <v>5</v>
      </c>
      <c r="F8" s="4" t="s">
        <v>641</v>
      </c>
    </row>
    <row r="9" spans="1:6" x14ac:dyDescent="0.25">
      <c r="A9" s="13" t="s">
        <v>642</v>
      </c>
      <c r="B9" s="13">
        <f>SUM(B2:B8)</f>
        <v>100</v>
      </c>
      <c r="E9" s="13">
        <f>SUM(E2:E8)</f>
        <v>100</v>
      </c>
    </row>
    <row r="10" spans="1:6" x14ac:dyDescent="0.25">
      <c r="A10" s="13" t="s">
        <v>643</v>
      </c>
      <c r="C10" s="14">
        <f>SUMPRODUCT($B$2:$B$8,C2:C8)/5</f>
        <v>75</v>
      </c>
    </row>
    <row r="11" spans="1:6" x14ac:dyDescent="0.25">
      <c r="A11" s="13" t="s">
        <v>644</v>
      </c>
      <c r="D11" s="14">
        <f>SUMPRODUCT($B$2:$B$8,D2:D8)/5</f>
        <v>57</v>
      </c>
    </row>
    <row r="12" spans="1:6" x14ac:dyDescent="0.25">
      <c r="A12" s="13" t="s">
        <v>645</v>
      </c>
      <c r="C12" s="14">
        <f>SUMPRODUCT($E$2:$E$8,C2:C8)/5</f>
        <v>72</v>
      </c>
    </row>
    <row r="13" spans="1:6" x14ac:dyDescent="0.25">
      <c r="A13" s="13" t="s">
        <v>646</v>
      </c>
      <c r="D13" s="14">
        <f>SUMPRODUCT($E$2:$E$8,D2:D8)/5</f>
        <v>63</v>
      </c>
    </row>
    <row r="14" spans="1:6" ht="71.25" x14ac:dyDescent="0.25">
      <c r="A14" s="4" t="s">
        <v>647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44"/>
  <sheetViews>
    <sheetView zoomScaleNormal="100" workbookViewId="0"/>
  </sheetViews>
  <sheetFormatPr baseColWidth="10" defaultColWidth="8.7109375" defaultRowHeight="15" x14ac:dyDescent="0.25"/>
  <cols>
    <col min="1" max="1" width="42" customWidth="1"/>
    <col min="2" max="3" width="14" customWidth="1"/>
    <col min="4" max="4" width="16" customWidth="1"/>
    <col min="5" max="5" width="18" customWidth="1"/>
    <col min="6" max="6" width="16" customWidth="1"/>
    <col min="7" max="7" width="18" customWidth="1"/>
    <col min="8" max="8" width="28" customWidth="1"/>
  </cols>
  <sheetData>
    <row r="1" spans="1:4" x14ac:dyDescent="0.25">
      <c r="A1" s="13" t="s">
        <v>648</v>
      </c>
    </row>
    <row r="2" spans="1:4" x14ac:dyDescent="0.25">
      <c r="A2" s="3" t="s">
        <v>4</v>
      </c>
      <c r="B2" s="3" t="s">
        <v>5</v>
      </c>
      <c r="C2" s="3" t="s">
        <v>6</v>
      </c>
      <c r="D2" s="3" t="s">
        <v>649</v>
      </c>
    </row>
    <row r="3" spans="1:4" ht="28.5" x14ac:dyDescent="0.25">
      <c r="A3" s="4" t="s">
        <v>650</v>
      </c>
      <c r="B3" s="12">
        <v>30.18</v>
      </c>
      <c r="C3" s="4" t="s">
        <v>651</v>
      </c>
      <c r="D3" s="4" t="s">
        <v>652</v>
      </c>
    </row>
    <row r="4" spans="1:4" ht="42.75" x14ac:dyDescent="0.25">
      <c r="A4" s="4" t="s">
        <v>653</v>
      </c>
      <c r="B4" s="12">
        <v>0.29499999999999998</v>
      </c>
      <c r="C4" s="4" t="s">
        <v>14</v>
      </c>
      <c r="D4" s="4" t="s">
        <v>654</v>
      </c>
    </row>
    <row r="5" spans="1:4" x14ac:dyDescent="0.25">
      <c r="A5" s="4" t="s">
        <v>655</v>
      </c>
      <c r="B5" s="12">
        <v>1361</v>
      </c>
      <c r="C5" s="4" t="s">
        <v>656</v>
      </c>
      <c r="D5" s="4"/>
    </row>
    <row r="6" spans="1:4" x14ac:dyDescent="0.25">
      <c r="A6" s="4" t="s">
        <v>657</v>
      </c>
      <c r="B6" s="12">
        <v>2</v>
      </c>
      <c r="C6" s="4" t="s">
        <v>14</v>
      </c>
      <c r="D6" s="4" t="s">
        <v>402</v>
      </c>
    </row>
    <row r="7" spans="1:4" x14ac:dyDescent="0.25">
      <c r="A7" s="4" t="s">
        <v>658</v>
      </c>
      <c r="B7" s="12">
        <v>0.85</v>
      </c>
      <c r="C7" s="4" t="s">
        <v>14</v>
      </c>
      <c r="D7" s="4" t="s">
        <v>659</v>
      </c>
    </row>
    <row r="8" spans="1:4" x14ac:dyDescent="0.25">
      <c r="A8" s="4" t="s">
        <v>660</v>
      </c>
      <c r="B8" s="12">
        <v>0.95</v>
      </c>
      <c r="C8" s="4" t="s">
        <v>14</v>
      </c>
      <c r="D8" s="4" t="s">
        <v>659</v>
      </c>
    </row>
    <row r="9" spans="1:4" x14ac:dyDescent="0.25">
      <c r="A9" s="4" t="s">
        <v>661</v>
      </c>
      <c r="B9" s="12">
        <v>0.9</v>
      </c>
      <c r="C9" s="4" t="s">
        <v>14</v>
      </c>
      <c r="D9" s="4" t="s">
        <v>659</v>
      </c>
    </row>
    <row r="10" spans="1:4" x14ac:dyDescent="0.25">
      <c r="A10" s="4" t="s">
        <v>662</v>
      </c>
      <c r="B10" s="12">
        <v>0.97</v>
      </c>
      <c r="C10" s="4" t="s">
        <v>14</v>
      </c>
      <c r="D10" s="4" t="s">
        <v>659</v>
      </c>
    </row>
    <row r="11" spans="1:4" x14ac:dyDescent="0.25">
      <c r="A11" s="4" t="s">
        <v>663</v>
      </c>
      <c r="B11" s="12">
        <v>1.41</v>
      </c>
      <c r="C11" s="4" t="s">
        <v>14</v>
      </c>
      <c r="D11" s="4" t="s">
        <v>664</v>
      </c>
    </row>
    <row r="12" spans="1:4" ht="42.75" x14ac:dyDescent="0.25">
      <c r="A12" s="4" t="s">
        <v>665</v>
      </c>
      <c r="B12" s="12">
        <v>3.35</v>
      </c>
      <c r="C12" s="4" t="s">
        <v>666</v>
      </c>
      <c r="D12" s="4" t="s">
        <v>667</v>
      </c>
    </row>
    <row r="13" spans="1:4" x14ac:dyDescent="0.25">
      <c r="A13" s="4" t="s">
        <v>668</v>
      </c>
      <c r="B13" s="12">
        <v>3.6</v>
      </c>
      <c r="C13" s="4" t="s">
        <v>669</v>
      </c>
      <c r="D13" s="4"/>
    </row>
    <row r="14" spans="1:4" x14ac:dyDescent="0.25">
      <c r="A14" s="4" t="s">
        <v>670</v>
      </c>
      <c r="B14" s="12">
        <v>2</v>
      </c>
      <c r="C14" s="4" t="s">
        <v>14</v>
      </c>
      <c r="D14" s="4" t="s">
        <v>671</v>
      </c>
    </row>
    <row r="15" spans="1:4" x14ac:dyDescent="0.25">
      <c r="A15" s="4" t="s">
        <v>672</v>
      </c>
      <c r="B15" s="12">
        <v>0.2</v>
      </c>
      <c r="C15" s="4" t="s">
        <v>14</v>
      </c>
      <c r="D15" s="4" t="s">
        <v>237</v>
      </c>
    </row>
    <row r="16" spans="1:4" x14ac:dyDescent="0.25">
      <c r="A16" s="4" t="s">
        <v>673</v>
      </c>
      <c r="B16" s="12">
        <v>3</v>
      </c>
      <c r="C16" s="4" t="s">
        <v>14</v>
      </c>
      <c r="D16" s="4" t="s">
        <v>674</v>
      </c>
    </row>
    <row r="17" spans="1:8" x14ac:dyDescent="0.25">
      <c r="A17" s="13" t="s">
        <v>675</v>
      </c>
      <c r="B17" s="15">
        <f>$B$6*$B$3/10^4*$B$5*$B$4</f>
        <v>2.4234238199999996</v>
      </c>
      <c r="C17" s="4" t="s">
        <v>676</v>
      </c>
    </row>
    <row r="18" spans="1:8" x14ac:dyDescent="0.25">
      <c r="A18" s="13" t="s">
        <v>677</v>
      </c>
      <c r="B18" s="15">
        <f>$B$11*B17*$B$7*$B$8*$B$9*$B$10*(1-Parametros!$B$10)</f>
        <v>1.5119934114756932</v>
      </c>
      <c r="C18" s="4" t="s">
        <v>676</v>
      </c>
    </row>
    <row r="19" spans="1:8" x14ac:dyDescent="0.25">
      <c r="A19" s="13" t="s">
        <v>678</v>
      </c>
      <c r="B19" s="16">
        <f>Parametros!$B$7/60</f>
        <v>1.5941646708374437</v>
      </c>
      <c r="C19" s="4" t="s">
        <v>679</v>
      </c>
    </row>
    <row r="20" spans="1:8" x14ac:dyDescent="0.25">
      <c r="A20" s="13" t="s">
        <v>680</v>
      </c>
      <c r="B20" s="15">
        <f>B18*B19</f>
        <v>2.4103664791135322</v>
      </c>
      <c r="C20" s="4" t="s">
        <v>681</v>
      </c>
    </row>
    <row r="21" spans="1:8" x14ac:dyDescent="0.25">
      <c r="A21" s="13" t="s">
        <v>682</v>
      </c>
      <c r="B21" s="17">
        <f>$B$12*$B$13*$B$14</f>
        <v>24.12</v>
      </c>
      <c r="C21" s="4" t="s">
        <v>681</v>
      </c>
    </row>
    <row r="23" spans="1:8" ht="30" x14ac:dyDescent="0.25">
      <c r="A23" s="3" t="s">
        <v>683</v>
      </c>
      <c r="B23" s="3" t="s">
        <v>684</v>
      </c>
      <c r="C23" s="3" t="s">
        <v>685</v>
      </c>
      <c r="D23" s="3" t="s">
        <v>686</v>
      </c>
      <c r="E23" s="3" t="s">
        <v>687</v>
      </c>
      <c r="F23" s="3" t="s">
        <v>688</v>
      </c>
      <c r="G23" s="3" t="s">
        <v>689</v>
      </c>
      <c r="H23" s="3" t="s">
        <v>649</v>
      </c>
    </row>
    <row r="24" spans="1:8" x14ac:dyDescent="0.25">
      <c r="A24" s="4" t="s">
        <v>690</v>
      </c>
      <c r="B24" s="18">
        <v>0.35</v>
      </c>
      <c r="C24" s="18">
        <v>0.9</v>
      </c>
      <c r="D24" s="19">
        <v>1</v>
      </c>
      <c r="E24" s="19">
        <v>1</v>
      </c>
      <c r="F24" s="7">
        <f t="shared" ref="F24:F33" si="0">B24*D24*$B$19</f>
        <v>0.55795763479310523</v>
      </c>
      <c r="G24" s="7">
        <f t="shared" ref="G24:G33" si="1">B24*E24*$B$19</f>
        <v>0.55795763479310523</v>
      </c>
      <c r="H24" s="4" t="s">
        <v>691</v>
      </c>
    </row>
    <row r="25" spans="1:8" x14ac:dyDescent="0.25">
      <c r="A25" s="4" t="s">
        <v>692</v>
      </c>
      <c r="B25" s="18">
        <v>0.1</v>
      </c>
      <c r="C25" s="18">
        <v>0.15</v>
      </c>
      <c r="D25" s="19">
        <v>1</v>
      </c>
      <c r="E25" s="19">
        <v>1</v>
      </c>
      <c r="F25" s="7">
        <f t="shared" si="0"/>
        <v>0.15941646708374438</v>
      </c>
      <c r="G25" s="7">
        <f t="shared" si="1"/>
        <v>0.15941646708374438</v>
      </c>
      <c r="H25" s="4" t="s">
        <v>693</v>
      </c>
    </row>
    <row r="26" spans="1:8" x14ac:dyDescent="0.25">
      <c r="A26" s="4" t="s">
        <v>694</v>
      </c>
      <c r="B26" s="18">
        <v>0.12</v>
      </c>
      <c r="C26" s="18">
        <v>0.15</v>
      </c>
      <c r="D26" s="19">
        <v>1</v>
      </c>
      <c r="E26" s="19">
        <v>1</v>
      </c>
      <c r="F26" s="7">
        <f t="shared" si="0"/>
        <v>0.19129976050049324</v>
      </c>
      <c r="G26" s="7">
        <f t="shared" si="1"/>
        <v>0.19129976050049324</v>
      </c>
      <c r="H26" s="4" t="s">
        <v>695</v>
      </c>
    </row>
    <row r="27" spans="1:8" x14ac:dyDescent="0.25">
      <c r="A27" s="4" t="s">
        <v>696</v>
      </c>
      <c r="B27" s="18">
        <v>0.15</v>
      </c>
      <c r="C27" s="18">
        <v>1.47</v>
      </c>
      <c r="D27" s="19">
        <v>0.25</v>
      </c>
      <c r="E27" s="19">
        <v>0.25</v>
      </c>
      <c r="F27" s="7">
        <f t="shared" si="0"/>
        <v>5.9781175156404139E-2</v>
      </c>
      <c r="G27" s="7">
        <f t="shared" si="1"/>
        <v>5.9781175156404139E-2</v>
      </c>
      <c r="H27" s="4" t="s">
        <v>697</v>
      </c>
    </row>
    <row r="28" spans="1:8" x14ac:dyDescent="0.25">
      <c r="A28" s="4" t="s">
        <v>698</v>
      </c>
      <c r="B28" s="18">
        <v>0.45</v>
      </c>
      <c r="C28" s="18">
        <v>1.1299999999999999</v>
      </c>
      <c r="D28" s="19">
        <v>0</v>
      </c>
      <c r="E28" s="19">
        <v>0.25</v>
      </c>
      <c r="F28" s="7">
        <f t="shared" si="0"/>
        <v>0</v>
      </c>
      <c r="G28" s="7">
        <f t="shared" si="1"/>
        <v>0.17934352546921242</v>
      </c>
      <c r="H28" s="4" t="s">
        <v>699</v>
      </c>
    </row>
    <row r="29" spans="1:8" ht="28.5" x14ac:dyDescent="0.25">
      <c r="A29" s="4" t="s">
        <v>700</v>
      </c>
      <c r="B29" s="18">
        <v>0.24</v>
      </c>
      <c r="C29" s="18">
        <v>0.24</v>
      </c>
      <c r="D29" s="19">
        <v>1</v>
      </c>
      <c r="E29" s="19">
        <v>1</v>
      </c>
      <c r="F29" s="7">
        <f t="shared" si="0"/>
        <v>0.38259952100098649</v>
      </c>
      <c r="G29" s="7">
        <f t="shared" si="1"/>
        <v>0.38259952100098649</v>
      </c>
      <c r="H29" s="4" t="s">
        <v>701</v>
      </c>
    </row>
    <row r="30" spans="1:8" ht="28.5" x14ac:dyDescent="0.25">
      <c r="A30" s="4" t="s">
        <v>702</v>
      </c>
      <c r="B30" s="18">
        <v>5.5</v>
      </c>
      <c r="C30" s="18">
        <v>5.5</v>
      </c>
      <c r="D30" s="19">
        <v>0.02</v>
      </c>
      <c r="E30" s="19">
        <v>7.0000000000000007E-2</v>
      </c>
      <c r="F30" s="7">
        <f t="shared" si="0"/>
        <v>0.17535811379211882</v>
      </c>
      <c r="G30" s="7">
        <f t="shared" si="1"/>
        <v>0.61375339827241582</v>
      </c>
      <c r="H30" s="4" t="s">
        <v>703</v>
      </c>
    </row>
    <row r="31" spans="1:8" ht="28.5" x14ac:dyDescent="0.25">
      <c r="A31" s="4" t="s">
        <v>704</v>
      </c>
      <c r="B31" s="18">
        <v>5</v>
      </c>
      <c r="C31" s="18">
        <v>5</v>
      </c>
      <c r="D31" s="19">
        <v>0</v>
      </c>
      <c r="E31" s="19">
        <v>0.1</v>
      </c>
      <c r="F31" s="7">
        <f t="shared" si="0"/>
        <v>0</v>
      </c>
      <c r="G31" s="7">
        <f t="shared" si="1"/>
        <v>0.79708233541872187</v>
      </c>
      <c r="H31" s="4" t="s">
        <v>705</v>
      </c>
    </row>
    <row r="32" spans="1:8" ht="28.5" x14ac:dyDescent="0.25">
      <c r="A32" s="4" t="s">
        <v>706</v>
      </c>
      <c r="B32" s="18">
        <v>0.6</v>
      </c>
      <c r="C32" s="18">
        <v>0.8</v>
      </c>
      <c r="D32" s="19">
        <v>0</v>
      </c>
      <c r="E32" s="19">
        <v>0.03</v>
      </c>
      <c r="F32" s="7">
        <f t="shared" si="0"/>
        <v>0</v>
      </c>
      <c r="G32" s="7">
        <f t="shared" si="1"/>
        <v>2.8694964075073985E-2</v>
      </c>
      <c r="H32" s="4" t="s">
        <v>707</v>
      </c>
    </row>
    <row r="33" spans="1:8" x14ac:dyDescent="0.25">
      <c r="A33" s="4" t="s">
        <v>708</v>
      </c>
      <c r="B33" s="18">
        <v>0.4</v>
      </c>
      <c r="C33" s="18">
        <v>0.5</v>
      </c>
      <c r="D33" s="19">
        <v>0.15</v>
      </c>
      <c r="E33" s="19">
        <v>0.15</v>
      </c>
      <c r="F33" s="7">
        <f t="shared" si="0"/>
        <v>9.5649880250246622E-2</v>
      </c>
      <c r="G33" s="7">
        <f t="shared" si="1"/>
        <v>9.5649880250246622E-2</v>
      </c>
      <c r="H33" s="4" t="s">
        <v>442</v>
      </c>
    </row>
    <row r="34" spans="1:8" x14ac:dyDescent="0.25">
      <c r="A34" s="13" t="s">
        <v>709</v>
      </c>
      <c r="F34" s="20">
        <f>SUM(F24:F33)</f>
        <v>1.6220625525770989</v>
      </c>
      <c r="G34" s="20">
        <f>SUM(G24:G33)</f>
        <v>3.0655786620204042</v>
      </c>
    </row>
    <row r="35" spans="1:8" x14ac:dyDescent="0.25">
      <c r="A35" s="13" t="s">
        <v>710</v>
      </c>
      <c r="F35" s="20">
        <f>F34*(1+$B$15)</f>
        <v>1.9464750630925185</v>
      </c>
      <c r="G35" s="20">
        <f>G34*(1+$B$15)</f>
        <v>3.6786943944244848</v>
      </c>
    </row>
    <row r="37" spans="1:8" x14ac:dyDescent="0.25">
      <c r="A37" s="13" t="s">
        <v>711</v>
      </c>
      <c r="B37" s="15">
        <f>B20-F35</f>
        <v>0.46389141602101369</v>
      </c>
    </row>
    <row r="38" spans="1:8" x14ac:dyDescent="0.25">
      <c r="A38" s="13" t="s">
        <v>712</v>
      </c>
      <c r="B38" s="15">
        <f>B20-G35</f>
        <v>-1.2683279153109526</v>
      </c>
    </row>
    <row r="39" spans="1:8" ht="30" x14ac:dyDescent="0.25">
      <c r="A39" s="13" t="s">
        <v>713</v>
      </c>
      <c r="B39" s="15">
        <f>Parametros!$B$12*B20-((Parametros!$B$12-$B$16)*F35+$B$16*G35)</f>
        <v>1.7871838814207379</v>
      </c>
    </row>
    <row r="40" spans="1:8" x14ac:dyDescent="0.25">
      <c r="A40" s="13" t="s">
        <v>714</v>
      </c>
      <c r="B40" s="15">
        <f>G35*Parametros!$B$10</f>
        <v>1.3696177442871547</v>
      </c>
    </row>
    <row r="41" spans="1:8" x14ac:dyDescent="0.25">
      <c r="A41" s="13" t="s">
        <v>715</v>
      </c>
      <c r="B41" s="21">
        <f>(G35-B20+B40)/B21</f>
        <v>0.10936756465995467</v>
      </c>
    </row>
    <row r="42" spans="1:8" x14ac:dyDescent="0.25">
      <c r="A42" s="13" t="s">
        <v>716</v>
      </c>
      <c r="B42" s="15">
        <f>Parametros!$B$12*182.5</f>
        <v>2747.5204288018167</v>
      </c>
    </row>
    <row r="43" spans="1:8" x14ac:dyDescent="0.25">
      <c r="A43" s="13" t="s">
        <v>717</v>
      </c>
      <c r="B43" s="15" t="str">
        <f>IF(B39&gt;0,"Sí","No")</f>
        <v>Sí</v>
      </c>
    </row>
    <row r="44" spans="1:8" x14ac:dyDescent="0.25">
      <c r="A44" s="13" t="s">
        <v>718</v>
      </c>
      <c r="B44" s="15" t="str">
        <f>IF(B41&lt;=0.2,"Sí","No")</f>
        <v>Sí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2"/>
  <sheetViews>
    <sheetView zoomScaleNormal="100" workbookViewId="0"/>
  </sheetViews>
  <sheetFormatPr baseColWidth="10" defaultColWidth="8.7109375" defaultRowHeight="15" x14ac:dyDescent="0.25"/>
  <cols>
    <col min="1" max="1" width="40" customWidth="1"/>
    <col min="2" max="2" width="10" customWidth="1"/>
    <col min="3" max="3" width="34" customWidth="1"/>
    <col min="4" max="4" width="16" customWidth="1"/>
    <col min="5" max="5" width="40" customWidth="1"/>
  </cols>
  <sheetData>
    <row r="1" spans="1:5" ht="30" x14ac:dyDescent="0.25">
      <c r="A1" s="3" t="s">
        <v>719</v>
      </c>
      <c r="B1" s="3" t="s">
        <v>720</v>
      </c>
      <c r="C1" s="3" t="s">
        <v>721</v>
      </c>
      <c r="D1" s="3" t="s">
        <v>722</v>
      </c>
      <c r="E1" s="3" t="s">
        <v>723</v>
      </c>
    </row>
    <row r="2" spans="1:5" ht="28.5" x14ac:dyDescent="0.25">
      <c r="A2" s="4" t="s">
        <v>724</v>
      </c>
      <c r="B2" s="12">
        <v>180</v>
      </c>
      <c r="C2" s="4" t="s">
        <v>725</v>
      </c>
      <c r="D2" s="12">
        <v>22</v>
      </c>
      <c r="E2" s="4" t="s">
        <v>726</v>
      </c>
    </row>
    <row r="3" spans="1:5" x14ac:dyDescent="0.25">
      <c r="A3" s="4" t="s">
        <v>727</v>
      </c>
      <c r="B3" s="12">
        <v>50</v>
      </c>
      <c r="C3" s="4" t="s">
        <v>691</v>
      </c>
      <c r="D3" s="12">
        <v>12</v>
      </c>
      <c r="E3" s="4" t="s">
        <v>728</v>
      </c>
    </row>
    <row r="4" spans="1:5" x14ac:dyDescent="0.25">
      <c r="A4" s="4" t="s">
        <v>729</v>
      </c>
      <c r="B4" s="12">
        <v>140</v>
      </c>
      <c r="C4" s="4" t="s">
        <v>699</v>
      </c>
      <c r="D4" s="12"/>
      <c r="E4" s="4" t="s">
        <v>730</v>
      </c>
    </row>
    <row r="5" spans="1:5" ht="28.5" x14ac:dyDescent="0.25">
      <c r="A5" s="4" t="s">
        <v>731</v>
      </c>
      <c r="B5" s="12">
        <v>195</v>
      </c>
      <c r="C5" s="4" t="s">
        <v>732</v>
      </c>
      <c r="D5" s="12">
        <v>13</v>
      </c>
      <c r="E5" s="4"/>
    </row>
    <row r="6" spans="1:5" x14ac:dyDescent="0.25">
      <c r="A6" s="4" t="s">
        <v>733</v>
      </c>
      <c r="B6" s="12">
        <v>120</v>
      </c>
      <c r="C6" s="4" t="s">
        <v>734</v>
      </c>
      <c r="D6" s="12">
        <v>40</v>
      </c>
      <c r="E6" s="4" t="s">
        <v>735</v>
      </c>
    </row>
    <row r="7" spans="1:5" x14ac:dyDescent="0.25">
      <c r="A7" s="4" t="s">
        <v>736</v>
      </c>
      <c r="B7" s="12">
        <v>110</v>
      </c>
      <c r="C7" s="4" t="s">
        <v>737</v>
      </c>
      <c r="D7" s="12">
        <v>5</v>
      </c>
      <c r="E7" s="4" t="s">
        <v>738</v>
      </c>
    </row>
    <row r="8" spans="1:5" ht="28.5" x14ac:dyDescent="0.25">
      <c r="A8" s="4" t="s">
        <v>739</v>
      </c>
      <c r="B8" s="12">
        <v>280</v>
      </c>
      <c r="C8" s="4" t="s">
        <v>740</v>
      </c>
      <c r="D8" s="12"/>
      <c r="E8" s="4"/>
    </row>
    <row r="9" spans="1:5" x14ac:dyDescent="0.25">
      <c r="A9" s="13" t="s">
        <v>709</v>
      </c>
      <c r="B9" s="13">
        <f>SUM(B2:B8)</f>
        <v>1075</v>
      </c>
      <c r="D9" s="13">
        <f>SUM(D2:D8)</f>
        <v>92</v>
      </c>
    </row>
    <row r="10" spans="1:5" x14ac:dyDescent="0.25">
      <c r="A10" s="13" t="s">
        <v>741</v>
      </c>
      <c r="B10" s="14">
        <f>B9*1.2</f>
        <v>1290</v>
      </c>
    </row>
    <row r="11" spans="1:5" ht="28.5" x14ac:dyDescent="0.25">
      <c r="A11" s="13" t="s">
        <v>742</v>
      </c>
      <c r="B11" s="12">
        <v>2000</v>
      </c>
      <c r="D11" s="12">
        <v>95</v>
      </c>
      <c r="E11" s="4" t="s">
        <v>743</v>
      </c>
    </row>
    <row r="12" spans="1:5" x14ac:dyDescent="0.25">
      <c r="A12" s="13" t="s">
        <v>744</v>
      </c>
      <c r="B12" s="14">
        <f>B11-B10</f>
        <v>710</v>
      </c>
      <c r="D12" s="13">
        <f>D11-D9</f>
        <v>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3"/>
  <sheetViews>
    <sheetView zoomScaleNormal="100" workbookViewId="0"/>
  </sheetViews>
  <sheetFormatPr baseColWidth="10" defaultColWidth="8.7109375" defaultRowHeight="15" x14ac:dyDescent="0.25"/>
  <cols>
    <col min="1" max="1" width="42" customWidth="1"/>
    <col min="2" max="3" width="22" customWidth="1"/>
    <col min="4" max="4" width="18" customWidth="1"/>
    <col min="5" max="5" width="22" customWidth="1"/>
    <col min="6" max="6" width="16" customWidth="1"/>
  </cols>
  <sheetData>
    <row r="1" spans="1:6" ht="30" x14ac:dyDescent="0.25">
      <c r="A1" s="3" t="s">
        <v>649</v>
      </c>
      <c r="B1" s="3" t="s">
        <v>745</v>
      </c>
      <c r="C1" s="3" t="s">
        <v>746</v>
      </c>
      <c r="D1" s="3" t="s">
        <v>747</v>
      </c>
      <c r="E1" s="3" t="s">
        <v>748</v>
      </c>
      <c r="F1" s="3" t="s">
        <v>749</v>
      </c>
    </row>
    <row r="2" spans="1:6" ht="28.5" x14ac:dyDescent="0.25">
      <c r="A2" s="4" t="s">
        <v>750</v>
      </c>
      <c r="B2" s="22">
        <f>Parametros!$B$28</f>
        <v>49.128768000000001</v>
      </c>
      <c r="C2" s="23">
        <f>Parametros!$B$47/7</f>
        <v>0.5714285714285714</v>
      </c>
      <c r="D2" s="17">
        <f>B2*C2</f>
        <v>28.073581714285712</v>
      </c>
      <c r="E2" s="24">
        <f>B2*7</f>
        <v>343.90137600000003</v>
      </c>
      <c r="F2" s="4" t="s">
        <v>751</v>
      </c>
    </row>
    <row r="3" spans="1:6" x14ac:dyDescent="0.25">
      <c r="A3" s="4" t="s">
        <v>752</v>
      </c>
      <c r="B3" s="15">
        <f>0.02*Parametros!$B$26</f>
        <v>0.52</v>
      </c>
      <c r="C3" s="15">
        <f>C2</f>
        <v>0.5714285714285714</v>
      </c>
      <c r="D3" s="15">
        <f>B3*C3</f>
        <v>0.29714285714285715</v>
      </c>
      <c r="E3" s="17">
        <f>B3*7</f>
        <v>3.64</v>
      </c>
      <c r="F3" s="4" t="s">
        <v>753</v>
      </c>
    </row>
    <row r="4" spans="1:6" ht="28.5" x14ac:dyDescent="0.25">
      <c r="A4" s="4" t="s">
        <v>754</v>
      </c>
      <c r="B4" s="15">
        <f>100*10*120/10^6</f>
        <v>0.12</v>
      </c>
      <c r="C4" s="15">
        <f>C2</f>
        <v>0.5714285714285714</v>
      </c>
      <c r="D4" s="15">
        <f>B4*C4</f>
        <v>6.8571428571428561E-2</v>
      </c>
      <c r="E4" s="17">
        <f>B4*7</f>
        <v>0.84</v>
      </c>
      <c r="F4" s="4" t="s">
        <v>755</v>
      </c>
    </row>
    <row r="5" spans="1:6" x14ac:dyDescent="0.25">
      <c r="A5" s="4" t="s">
        <v>756</v>
      </c>
      <c r="B5" s="25">
        <f>200/10^6</f>
        <v>2.0000000000000001E-4</v>
      </c>
      <c r="C5" s="12">
        <v>1440</v>
      </c>
      <c r="D5" s="15">
        <f>B5*C5</f>
        <v>0.28800000000000003</v>
      </c>
      <c r="E5" s="17">
        <f>D5*7</f>
        <v>2.016</v>
      </c>
      <c r="F5" s="4" t="s">
        <v>757</v>
      </c>
    </row>
    <row r="6" spans="1:6" x14ac:dyDescent="0.25">
      <c r="A6" s="13" t="s">
        <v>709</v>
      </c>
      <c r="D6" s="26">
        <f>SUM(D2:D5)</f>
        <v>28.727295999999996</v>
      </c>
      <c r="E6" s="14">
        <f>SUM(E2:E5)</f>
        <v>350.39737600000001</v>
      </c>
    </row>
    <row r="8" spans="1:6" x14ac:dyDescent="0.25">
      <c r="A8" s="13" t="s">
        <v>758</v>
      </c>
      <c r="B8" s="22">
        <f>Parametros!$B$45</f>
        <v>49.087499999999999</v>
      </c>
    </row>
    <row r="9" spans="1:6" x14ac:dyDescent="0.25">
      <c r="A9" s="13" t="s">
        <v>759</v>
      </c>
      <c r="B9" s="27">
        <f>(D2+D3+D4)/B8</f>
        <v>0.57935922587216693</v>
      </c>
    </row>
    <row r="10" spans="1:6" x14ac:dyDescent="0.25">
      <c r="A10" s="13" t="s">
        <v>760</v>
      </c>
      <c r="B10" s="15">
        <f>B2/B8</f>
        <v>1.0008407028265853</v>
      </c>
    </row>
    <row r="11" spans="1:6" x14ac:dyDescent="0.25">
      <c r="A11" s="13" t="s">
        <v>761</v>
      </c>
      <c r="B11" s="12">
        <v>1000</v>
      </c>
    </row>
    <row r="12" spans="1:6" x14ac:dyDescent="0.25">
      <c r="A12" s="13" t="s">
        <v>762</v>
      </c>
      <c r="B12" s="4" t="str">
        <f>IF(E6&lt;=B11,"Sí","No")</f>
        <v>Sí</v>
      </c>
    </row>
    <row r="13" spans="1:6" x14ac:dyDescent="0.25">
      <c r="A13" s="13" t="s">
        <v>763</v>
      </c>
      <c r="B13" s="4" t="str">
        <f>IF(B10&lt;=2,"Sí","No")</f>
        <v>Sí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32"/>
  <sheetViews>
    <sheetView zoomScaleNormal="100" workbookViewId="0"/>
  </sheetViews>
  <sheetFormatPr baseColWidth="10" defaultColWidth="8.7109375" defaultRowHeight="15" x14ac:dyDescent="0.25"/>
  <cols>
    <col min="1" max="1" width="44" customWidth="1"/>
    <col min="2" max="3" width="16" customWidth="1"/>
    <col min="4" max="4" width="52" customWidth="1"/>
  </cols>
  <sheetData>
    <row r="1" spans="1:4" x14ac:dyDescent="0.25">
      <c r="A1" s="3" t="s">
        <v>4</v>
      </c>
      <c r="B1" s="3" t="s">
        <v>764</v>
      </c>
      <c r="C1" s="3" t="s">
        <v>765</v>
      </c>
      <c r="D1" s="3" t="s">
        <v>766</v>
      </c>
    </row>
    <row r="2" spans="1:4" x14ac:dyDescent="0.25">
      <c r="A2" s="4" t="s">
        <v>767</v>
      </c>
      <c r="B2" s="12">
        <v>10</v>
      </c>
      <c r="C2" s="12">
        <v>10</v>
      </c>
      <c r="D2" s="4" t="s">
        <v>768</v>
      </c>
    </row>
    <row r="3" spans="1:4" x14ac:dyDescent="0.25">
      <c r="A3" s="4" t="s">
        <v>769</v>
      </c>
      <c r="B3" s="24">
        <f>SQRT((Parametros!$B$6)^2-(Parametros!$B$3*COS(RADIANS(B2)))^2)-Parametros!$B$3*SIN(RADIANS(B2))</f>
        <v>1815.6521693683762</v>
      </c>
      <c r="C3" s="24">
        <f>SQRT((Parametros!$B$6)^2-(Parametros!$B$3*COS(RADIANS(C2)))^2)-Parametros!$B$3*SIN(RADIANS(C2))</f>
        <v>1815.6521693683762</v>
      </c>
      <c r="D3" s="4" t="s">
        <v>12</v>
      </c>
    </row>
    <row r="4" spans="1:4" x14ac:dyDescent="0.25">
      <c r="A4" s="4" t="s">
        <v>770</v>
      </c>
      <c r="B4" s="28">
        <v>437</v>
      </c>
      <c r="C4" s="28">
        <v>2245</v>
      </c>
      <c r="D4" s="4" t="s">
        <v>72</v>
      </c>
    </row>
    <row r="5" spans="1:4" x14ac:dyDescent="0.25">
      <c r="A5" s="4" t="s">
        <v>771</v>
      </c>
      <c r="B5" s="28">
        <v>0</v>
      </c>
      <c r="C5" s="28">
        <v>0</v>
      </c>
      <c r="D5" s="4" t="s">
        <v>772</v>
      </c>
    </row>
    <row r="6" spans="1:4" x14ac:dyDescent="0.25">
      <c r="A6" s="4" t="s">
        <v>773</v>
      </c>
      <c r="B6" s="28">
        <v>1</v>
      </c>
      <c r="C6" s="28">
        <v>1</v>
      </c>
      <c r="D6" s="4" t="s">
        <v>774</v>
      </c>
    </row>
    <row r="7" spans="1:4" x14ac:dyDescent="0.25">
      <c r="A7" s="4" t="s">
        <v>775</v>
      </c>
      <c r="B7" s="28">
        <v>0</v>
      </c>
      <c r="C7" s="28">
        <v>6</v>
      </c>
      <c r="D7" s="4" t="s">
        <v>776</v>
      </c>
    </row>
    <row r="8" spans="1:4" x14ac:dyDescent="0.25">
      <c r="A8" s="4" t="s">
        <v>777</v>
      </c>
      <c r="B8" s="28">
        <v>2</v>
      </c>
      <c r="C8" s="28">
        <v>2</v>
      </c>
      <c r="D8" s="4" t="s">
        <v>774</v>
      </c>
    </row>
    <row r="9" spans="1:4" x14ac:dyDescent="0.25">
      <c r="A9" s="4" t="s">
        <v>386</v>
      </c>
      <c r="B9" s="28">
        <v>3</v>
      </c>
      <c r="C9" s="28">
        <v>3</v>
      </c>
      <c r="D9" s="4" t="s">
        <v>774</v>
      </c>
    </row>
    <row r="10" spans="1:4" ht="28.5" x14ac:dyDescent="0.25">
      <c r="A10" s="4" t="s">
        <v>778</v>
      </c>
      <c r="B10" s="17">
        <f>16.3-10*LOG10(290+290*(10^(2/10)-1))</f>
        <v>-10.323979978989563</v>
      </c>
      <c r="C10" s="28">
        <v>4.9000000000000004</v>
      </c>
      <c r="D10" s="4" t="s">
        <v>779</v>
      </c>
    </row>
    <row r="11" spans="1:4" x14ac:dyDescent="0.25">
      <c r="A11" s="4" t="s">
        <v>780</v>
      </c>
      <c r="B11" s="28">
        <v>9600</v>
      </c>
      <c r="C11" s="28">
        <v>1000000</v>
      </c>
      <c r="D11" s="4" t="s">
        <v>781</v>
      </c>
    </row>
    <row r="12" spans="1:4" x14ac:dyDescent="0.25">
      <c r="A12" s="4" t="s">
        <v>782</v>
      </c>
      <c r="B12" s="28">
        <v>9.6</v>
      </c>
      <c r="C12" s="28">
        <v>4.0999999999999996</v>
      </c>
      <c r="D12" s="4" t="s">
        <v>783</v>
      </c>
    </row>
    <row r="13" spans="1:4" x14ac:dyDescent="0.25">
      <c r="A13" s="4" t="s">
        <v>784</v>
      </c>
      <c r="B13" s="17">
        <f>B5-B6+B7</f>
        <v>-1</v>
      </c>
      <c r="C13" s="17">
        <f>C5-C6+C7</f>
        <v>5</v>
      </c>
      <c r="D13" s="4" t="s">
        <v>785</v>
      </c>
    </row>
    <row r="14" spans="1:4" x14ac:dyDescent="0.25">
      <c r="A14" s="4" t="s">
        <v>786</v>
      </c>
      <c r="B14" s="17">
        <f>20*LOG10(4*PI()*B3*1000/(300000000/(B4*1000000)))</f>
        <v>150.43205398324815</v>
      </c>
      <c r="C14" s="17">
        <f>20*LOG10(4*PI()*C3*1000/(300000000/(C4*1000000)))</f>
        <v>164.64675215062655</v>
      </c>
      <c r="D14" s="4" t="s">
        <v>774</v>
      </c>
    </row>
    <row r="15" spans="1:4" x14ac:dyDescent="0.25">
      <c r="A15" s="4" t="s">
        <v>787</v>
      </c>
      <c r="B15" s="17">
        <f>B13-B14-B8-B9+B10+228.6</f>
        <v>61.843966037762272</v>
      </c>
      <c r="C15" s="17">
        <f>C13-C14-C8-C9+C10+228.6</f>
        <v>68.853247849373446</v>
      </c>
      <c r="D15" s="4" t="s">
        <v>788</v>
      </c>
    </row>
    <row r="16" spans="1:4" x14ac:dyDescent="0.25">
      <c r="A16" s="4" t="s">
        <v>789</v>
      </c>
      <c r="B16" s="17">
        <f>B15-10*LOG10(B11)</f>
        <v>22.02125370736659</v>
      </c>
      <c r="C16" s="17">
        <f>C15-10*LOG10(C11)</f>
        <v>8.8532478493734459</v>
      </c>
      <c r="D16" s="4" t="s">
        <v>774</v>
      </c>
    </row>
    <row r="17" spans="1:4" x14ac:dyDescent="0.25">
      <c r="A17" s="13" t="s">
        <v>744</v>
      </c>
      <c r="B17" s="26">
        <f>B16-B12</f>
        <v>12.42125370736659</v>
      </c>
      <c r="C17" s="26">
        <f>C16-C12</f>
        <v>4.7532478493734462</v>
      </c>
      <c r="D17" s="4" t="s">
        <v>774</v>
      </c>
    </row>
    <row r="18" spans="1:4" x14ac:dyDescent="0.25">
      <c r="A18" s="13" t="s">
        <v>790</v>
      </c>
      <c r="B18" s="13" t="str">
        <f>IF(B17&gt;=3,"Sí","No")</f>
        <v>Sí</v>
      </c>
      <c r="C18" s="13" t="str">
        <f>IF(C17&gt;=3,"Sí","No")</f>
        <v>Sí</v>
      </c>
    </row>
    <row r="19" spans="1:4" ht="28.5" x14ac:dyDescent="0.25">
      <c r="A19" s="4" t="s">
        <v>791</v>
      </c>
      <c r="B19" s="17">
        <f>B17-1</f>
        <v>11.42125370736659</v>
      </c>
      <c r="C19" s="17">
        <f>C17-1</f>
        <v>3.7532478493734462</v>
      </c>
    </row>
    <row r="20" spans="1:4" x14ac:dyDescent="0.25">
      <c r="A20" s="4" t="s">
        <v>792</v>
      </c>
      <c r="C20" s="17">
        <f>C17-20*LOG10(2/1.2)</f>
        <v>0.31627285704631802</v>
      </c>
    </row>
    <row r="22" spans="1:4" x14ac:dyDescent="0.25">
      <c r="A22" s="3" t="s">
        <v>793</v>
      </c>
      <c r="B22" s="3" t="s">
        <v>5</v>
      </c>
      <c r="C22" s="3"/>
      <c r="D22" s="3" t="s">
        <v>766</v>
      </c>
    </row>
    <row r="23" spans="1:4" x14ac:dyDescent="0.25">
      <c r="A23" s="4" t="s">
        <v>794</v>
      </c>
      <c r="B23" s="12">
        <v>120</v>
      </c>
      <c r="D23" s="4" t="s">
        <v>795</v>
      </c>
    </row>
    <row r="24" spans="1:4" x14ac:dyDescent="0.25">
      <c r="A24" s="4" t="s">
        <v>773</v>
      </c>
      <c r="B24" s="12">
        <v>2</v>
      </c>
      <c r="D24" s="4" t="s">
        <v>774</v>
      </c>
    </row>
    <row r="25" spans="1:4" x14ac:dyDescent="0.25">
      <c r="A25" s="4" t="s">
        <v>796</v>
      </c>
      <c r="B25" s="12">
        <v>16.3</v>
      </c>
      <c r="D25" s="4" t="s">
        <v>797</v>
      </c>
    </row>
    <row r="26" spans="1:4" x14ac:dyDescent="0.25">
      <c r="A26" s="4" t="s">
        <v>777</v>
      </c>
      <c r="B26" s="12">
        <v>2</v>
      </c>
      <c r="D26" s="4" t="s">
        <v>774</v>
      </c>
    </row>
    <row r="27" spans="1:4" x14ac:dyDescent="0.25">
      <c r="A27" s="4" t="s">
        <v>386</v>
      </c>
      <c r="B27" s="12">
        <v>3</v>
      </c>
      <c r="D27" s="4" t="s">
        <v>774</v>
      </c>
    </row>
    <row r="28" spans="1:4" x14ac:dyDescent="0.25">
      <c r="A28" s="4" t="s">
        <v>798</v>
      </c>
      <c r="B28" s="12">
        <v>0</v>
      </c>
      <c r="D28" s="4" t="s">
        <v>799</v>
      </c>
    </row>
    <row r="29" spans="1:4" x14ac:dyDescent="0.25">
      <c r="A29" s="4" t="s">
        <v>800</v>
      </c>
      <c r="B29" s="12">
        <v>1</v>
      </c>
      <c r="D29" s="4" t="s">
        <v>774</v>
      </c>
    </row>
    <row r="30" spans="1:4" x14ac:dyDescent="0.25">
      <c r="A30" s="4" t="s">
        <v>801</v>
      </c>
      <c r="B30" s="12">
        <v>-104</v>
      </c>
      <c r="D30" s="4" t="s">
        <v>802</v>
      </c>
    </row>
    <row r="31" spans="1:4" x14ac:dyDescent="0.25">
      <c r="A31" s="13" t="s">
        <v>803</v>
      </c>
      <c r="B31" s="26">
        <f>10*LOG10(B23)+30-B24+B25-B14-B26-B27+B28-B29</f>
        <v>-91.340241522771905</v>
      </c>
      <c r="D31" s="4" t="s">
        <v>804</v>
      </c>
    </row>
    <row r="32" spans="1:4" x14ac:dyDescent="0.25">
      <c r="A32" s="13" t="s">
        <v>744</v>
      </c>
      <c r="B32" s="26">
        <f>B31-B30</f>
        <v>12.659758477228095</v>
      </c>
      <c r="D32" s="4" t="s">
        <v>774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5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7109375" defaultRowHeight="15" x14ac:dyDescent="0.25"/>
  <cols>
    <col min="1" max="1" width="8" customWidth="1"/>
    <col min="2" max="3" width="12" customWidth="1"/>
    <col min="4" max="4" width="18" customWidth="1"/>
    <col min="5" max="5" width="25" customWidth="1"/>
    <col min="6" max="6" width="35" customWidth="1"/>
    <col min="7" max="7" width="14" customWidth="1"/>
    <col min="8" max="8" width="35" customWidth="1"/>
  </cols>
  <sheetData>
    <row r="1" spans="1:8" ht="30" x14ac:dyDescent="0.25">
      <c r="A1" s="3" t="s">
        <v>107</v>
      </c>
      <c r="B1" s="3" t="s">
        <v>805</v>
      </c>
      <c r="C1" s="3" t="s">
        <v>806</v>
      </c>
      <c r="D1" s="3" t="s">
        <v>512</v>
      </c>
      <c r="E1" s="3" t="s">
        <v>807</v>
      </c>
      <c r="F1" s="3" t="s">
        <v>808</v>
      </c>
      <c r="G1" s="3" t="s">
        <v>809</v>
      </c>
      <c r="H1" s="3" t="s">
        <v>810</v>
      </c>
    </row>
    <row r="2" spans="1:8" ht="28.5" x14ac:dyDescent="0.25">
      <c r="A2" s="4" t="s">
        <v>811</v>
      </c>
      <c r="B2" s="4" t="s">
        <v>812</v>
      </c>
      <c r="C2" s="4" t="s">
        <v>473</v>
      </c>
      <c r="D2" s="4" t="s">
        <v>813</v>
      </c>
      <c r="E2" s="4" t="s">
        <v>814</v>
      </c>
      <c r="F2" s="4" t="s">
        <v>815</v>
      </c>
      <c r="G2" s="4" t="s">
        <v>816</v>
      </c>
      <c r="H2" s="4" t="s">
        <v>817</v>
      </c>
    </row>
    <row r="3" spans="1:8" x14ac:dyDescent="0.25">
      <c r="A3" s="4" t="s">
        <v>818</v>
      </c>
      <c r="B3" s="4" t="s">
        <v>409</v>
      </c>
      <c r="C3" s="4" t="s">
        <v>473</v>
      </c>
      <c r="D3" s="4" t="s">
        <v>579</v>
      </c>
      <c r="E3" s="4" t="s">
        <v>819</v>
      </c>
      <c r="F3" s="4" t="s">
        <v>820</v>
      </c>
      <c r="G3" s="4" t="s">
        <v>816</v>
      </c>
      <c r="H3" s="4" t="s">
        <v>821</v>
      </c>
    </row>
    <row r="4" spans="1:8" ht="28.5" x14ac:dyDescent="0.25">
      <c r="A4" s="4" t="s">
        <v>822</v>
      </c>
      <c r="B4" s="4" t="s">
        <v>473</v>
      </c>
      <c r="C4" s="4" t="s">
        <v>823</v>
      </c>
      <c r="D4" s="4" t="s">
        <v>824</v>
      </c>
      <c r="E4" s="4" t="s">
        <v>825</v>
      </c>
      <c r="F4" s="4" t="s">
        <v>826</v>
      </c>
      <c r="G4" s="4" t="s">
        <v>816</v>
      </c>
      <c r="H4" s="4" t="s">
        <v>827</v>
      </c>
    </row>
    <row r="5" spans="1:8" ht="28.5" x14ac:dyDescent="0.25">
      <c r="A5" s="4" t="s">
        <v>828</v>
      </c>
      <c r="B5" s="4" t="s">
        <v>464</v>
      </c>
      <c r="C5" s="4" t="s">
        <v>473</v>
      </c>
      <c r="D5" s="4" t="s">
        <v>829</v>
      </c>
      <c r="E5" s="4" t="s">
        <v>830</v>
      </c>
      <c r="F5" s="4" t="s">
        <v>831</v>
      </c>
      <c r="G5" s="4" t="s">
        <v>832</v>
      </c>
      <c r="H5" s="4" t="s">
        <v>833</v>
      </c>
    </row>
    <row r="6" spans="1:8" x14ac:dyDescent="0.25">
      <c r="A6" s="4" t="s">
        <v>834</v>
      </c>
      <c r="B6" s="4" t="s">
        <v>464</v>
      </c>
      <c r="C6" s="4" t="s">
        <v>835</v>
      </c>
      <c r="D6" s="4" t="s">
        <v>530</v>
      </c>
      <c r="E6" s="4" t="s">
        <v>836</v>
      </c>
      <c r="F6" s="4" t="s">
        <v>837</v>
      </c>
      <c r="G6" s="4" t="s">
        <v>838</v>
      </c>
      <c r="H6" s="4" t="s">
        <v>839</v>
      </c>
    </row>
    <row r="7" spans="1:8" x14ac:dyDescent="0.25">
      <c r="A7" s="4" t="s">
        <v>840</v>
      </c>
      <c r="B7" s="4" t="s">
        <v>464</v>
      </c>
      <c r="C7" s="4" t="s">
        <v>841</v>
      </c>
      <c r="D7" s="4" t="s">
        <v>842</v>
      </c>
      <c r="E7" s="4" t="s">
        <v>843</v>
      </c>
      <c r="F7" s="4" t="s">
        <v>844</v>
      </c>
      <c r="G7" s="4" t="s">
        <v>845</v>
      </c>
      <c r="H7" s="4" t="s">
        <v>846</v>
      </c>
    </row>
    <row r="8" spans="1:8" ht="42.75" x14ac:dyDescent="0.25">
      <c r="A8" s="4" t="s">
        <v>847</v>
      </c>
      <c r="B8" s="4" t="s">
        <v>498</v>
      </c>
      <c r="C8" s="4" t="s">
        <v>464</v>
      </c>
      <c r="D8" s="4" t="s">
        <v>848</v>
      </c>
      <c r="E8" s="4" t="s">
        <v>849</v>
      </c>
      <c r="F8" s="4" t="s">
        <v>850</v>
      </c>
      <c r="G8" s="4" t="s">
        <v>851</v>
      </c>
      <c r="H8" s="4" t="s">
        <v>852</v>
      </c>
    </row>
    <row r="9" spans="1:8" ht="28.5" x14ac:dyDescent="0.25">
      <c r="A9" s="4" t="s">
        <v>853</v>
      </c>
      <c r="B9" s="4" t="s">
        <v>464</v>
      </c>
      <c r="C9" s="4" t="s">
        <v>854</v>
      </c>
      <c r="D9" s="4" t="s">
        <v>855</v>
      </c>
      <c r="E9" s="4" t="s">
        <v>856</v>
      </c>
      <c r="F9" s="4" t="s">
        <v>857</v>
      </c>
      <c r="G9" s="4" t="s">
        <v>858</v>
      </c>
      <c r="H9" s="4" t="s">
        <v>859</v>
      </c>
    </row>
    <row r="10" spans="1:8" ht="28.5" x14ac:dyDescent="0.25">
      <c r="A10" s="4" t="s">
        <v>860</v>
      </c>
      <c r="B10" s="4" t="s">
        <v>861</v>
      </c>
      <c r="C10" s="4" t="s">
        <v>862</v>
      </c>
      <c r="D10" s="4" t="s">
        <v>863</v>
      </c>
      <c r="E10" s="4" t="s">
        <v>864</v>
      </c>
      <c r="F10" s="4" t="s">
        <v>865</v>
      </c>
      <c r="G10" s="4" t="s">
        <v>858</v>
      </c>
      <c r="H10" s="4" t="s">
        <v>866</v>
      </c>
    </row>
    <row r="11" spans="1:8" ht="42.75" x14ac:dyDescent="0.25">
      <c r="A11" s="4" t="s">
        <v>867</v>
      </c>
      <c r="B11" s="4" t="s">
        <v>812</v>
      </c>
      <c r="C11" s="4" t="s">
        <v>464</v>
      </c>
      <c r="D11" s="4" t="s">
        <v>868</v>
      </c>
      <c r="E11" s="4" t="s">
        <v>869</v>
      </c>
      <c r="F11" s="4" t="s">
        <v>870</v>
      </c>
      <c r="G11" s="4" t="s">
        <v>858</v>
      </c>
      <c r="H11" s="4" t="s">
        <v>871</v>
      </c>
    </row>
    <row r="12" spans="1:8" x14ac:dyDescent="0.25">
      <c r="A12" s="4" t="s">
        <v>872</v>
      </c>
      <c r="B12" s="4" t="s">
        <v>873</v>
      </c>
      <c r="C12" s="4" t="s">
        <v>874</v>
      </c>
      <c r="D12" s="4" t="s">
        <v>875</v>
      </c>
      <c r="E12" s="4" t="s">
        <v>876</v>
      </c>
      <c r="F12" s="4" t="s">
        <v>877</v>
      </c>
      <c r="G12" s="4" t="s">
        <v>878</v>
      </c>
      <c r="H12" s="4" t="s">
        <v>879</v>
      </c>
    </row>
    <row r="13" spans="1:8" ht="28.5" x14ac:dyDescent="0.25">
      <c r="A13" s="4" t="s">
        <v>880</v>
      </c>
      <c r="B13" s="4" t="s">
        <v>473</v>
      </c>
      <c r="C13" s="4" t="s">
        <v>881</v>
      </c>
      <c r="D13" s="4" t="s">
        <v>882</v>
      </c>
      <c r="E13" s="4" t="s">
        <v>883</v>
      </c>
      <c r="F13" s="4" t="s">
        <v>884</v>
      </c>
      <c r="G13" s="4" t="s">
        <v>885</v>
      </c>
      <c r="H13" s="4" t="s">
        <v>886</v>
      </c>
    </row>
    <row r="14" spans="1:8" ht="28.5" x14ac:dyDescent="0.25">
      <c r="A14" s="4" t="s">
        <v>887</v>
      </c>
      <c r="B14" s="4" t="s">
        <v>888</v>
      </c>
      <c r="C14" s="4" t="s">
        <v>473</v>
      </c>
      <c r="D14" s="4" t="s">
        <v>889</v>
      </c>
      <c r="E14" s="4" t="s">
        <v>890</v>
      </c>
      <c r="F14" s="4" t="s">
        <v>891</v>
      </c>
      <c r="G14" s="4" t="s">
        <v>878</v>
      </c>
      <c r="H14" s="4" t="s">
        <v>892</v>
      </c>
    </row>
    <row r="15" spans="1:8" ht="28.5" x14ac:dyDescent="0.25">
      <c r="A15" s="4" t="s">
        <v>893</v>
      </c>
      <c r="B15" s="4" t="s">
        <v>894</v>
      </c>
      <c r="C15" s="4" t="s">
        <v>484</v>
      </c>
      <c r="D15" s="4" t="s">
        <v>895</v>
      </c>
      <c r="E15" s="4" t="s">
        <v>896</v>
      </c>
      <c r="F15" s="4" t="s">
        <v>897</v>
      </c>
      <c r="G15" s="4" t="s">
        <v>878</v>
      </c>
      <c r="H15" s="4" t="s">
        <v>898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10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7109375" defaultRowHeight="15" x14ac:dyDescent="0.25"/>
  <cols>
    <col min="1" max="1" width="7" customWidth="1"/>
    <col min="2" max="2" width="40" customWidth="1"/>
    <col min="3" max="3" width="30" customWidth="1"/>
    <col min="4" max="4" width="55" customWidth="1"/>
  </cols>
  <sheetData>
    <row r="1" spans="1:4" x14ac:dyDescent="0.25">
      <c r="A1" s="3" t="s">
        <v>107</v>
      </c>
      <c r="B1" s="3" t="s">
        <v>899</v>
      </c>
      <c r="C1" s="3" t="s">
        <v>900</v>
      </c>
      <c r="D1" s="3" t="s">
        <v>901</v>
      </c>
    </row>
    <row r="2" spans="1:4" ht="28.5" x14ac:dyDescent="0.25">
      <c r="A2" s="4" t="s">
        <v>902</v>
      </c>
      <c r="B2" s="4" t="s">
        <v>903</v>
      </c>
      <c r="C2" s="4" t="s">
        <v>904</v>
      </c>
      <c r="D2" s="4" t="s">
        <v>905</v>
      </c>
    </row>
    <row r="3" spans="1:4" ht="28.5" x14ac:dyDescent="0.25">
      <c r="A3" s="4" t="s">
        <v>906</v>
      </c>
      <c r="B3" s="4" t="s">
        <v>907</v>
      </c>
      <c r="C3" s="4" t="s">
        <v>908</v>
      </c>
      <c r="D3" s="4" t="s">
        <v>909</v>
      </c>
    </row>
    <row r="4" spans="1:4" ht="28.5" x14ac:dyDescent="0.25">
      <c r="A4" s="4" t="s">
        <v>910</v>
      </c>
      <c r="B4" s="4" t="s">
        <v>911</v>
      </c>
      <c r="C4" s="4" t="s">
        <v>912</v>
      </c>
      <c r="D4" s="4" t="s">
        <v>913</v>
      </c>
    </row>
    <row r="5" spans="1:4" ht="28.5" x14ac:dyDescent="0.25">
      <c r="A5" s="4" t="s">
        <v>914</v>
      </c>
      <c r="B5" s="4" t="s">
        <v>915</v>
      </c>
      <c r="C5" s="4" t="s">
        <v>916</v>
      </c>
      <c r="D5" s="4" t="s">
        <v>917</v>
      </c>
    </row>
    <row r="6" spans="1:4" ht="28.5" x14ac:dyDescent="0.25">
      <c r="A6" s="4" t="s">
        <v>918</v>
      </c>
      <c r="B6" s="4" t="s">
        <v>919</v>
      </c>
      <c r="C6" s="4" t="s">
        <v>920</v>
      </c>
      <c r="D6" s="4" t="s">
        <v>921</v>
      </c>
    </row>
    <row r="7" spans="1:4" ht="28.5" x14ac:dyDescent="0.25">
      <c r="A7" s="4" t="s">
        <v>922</v>
      </c>
      <c r="B7" s="4" t="s">
        <v>923</v>
      </c>
      <c r="C7" s="4" t="s">
        <v>924</v>
      </c>
      <c r="D7" s="4" t="s">
        <v>925</v>
      </c>
    </row>
    <row r="8" spans="1:4" ht="42.75" x14ac:dyDescent="0.25">
      <c r="A8" s="4" t="s">
        <v>926</v>
      </c>
      <c r="B8" s="4" t="s">
        <v>927</v>
      </c>
      <c r="C8" s="4" t="s">
        <v>928</v>
      </c>
      <c r="D8" s="4" t="s">
        <v>929</v>
      </c>
    </row>
    <row r="9" spans="1:4" ht="28.5" x14ac:dyDescent="0.25">
      <c r="A9" s="4" t="s">
        <v>930</v>
      </c>
      <c r="B9" s="4" t="s">
        <v>931</v>
      </c>
      <c r="C9" s="4" t="s">
        <v>932</v>
      </c>
      <c r="D9" s="4" t="s">
        <v>933</v>
      </c>
    </row>
    <row r="10" spans="1:4" ht="28.5" x14ac:dyDescent="0.25">
      <c r="A10" s="4" t="s">
        <v>934</v>
      </c>
      <c r="B10" s="4" t="s">
        <v>935</v>
      </c>
      <c r="C10" s="4" t="s">
        <v>936</v>
      </c>
      <c r="D10" s="4" t="s">
        <v>937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Leeme</vt:lpstr>
      <vt:lpstr>Parametros</vt:lpstr>
      <vt:lpstr>Supuestos</vt:lpstr>
      <vt:lpstr>Requisitos</vt:lpstr>
      <vt:lpstr>Especificaciones</vt:lpstr>
      <vt:lpstr>Trazabilidad</vt:lpstr>
      <vt:lpstr>HW_SW</vt:lpstr>
      <vt:lpstr>Recursos</vt:lpstr>
      <vt:lpstr>Alternativas</vt:lpstr>
      <vt:lpstr>Matriz</vt:lpstr>
      <vt:lpstr>Potencia</vt:lpstr>
      <vt:lpstr>Masa_Volumen</vt:lpstr>
      <vt:lpstr>Datos</vt:lpstr>
      <vt:lpstr>Enlace</vt:lpstr>
      <vt:lpstr>Interfaces</vt:lpstr>
      <vt:lpstr>Riesgos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Duvan Ramirez</cp:lastModifiedBy>
  <cp:revision>0</cp:revision>
  <dcterms:created xsi:type="dcterms:W3CDTF">2026-09-29T04:43:41Z</dcterms:created>
  <dcterms:modified xsi:type="dcterms:W3CDTF">2026-09-29T04:51:39Z</dcterms:modified>
  <dc:language>en-US</dc:language>
</cp:coreProperties>
</file>