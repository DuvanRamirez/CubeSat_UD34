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uvan\Desktop\Documentos\Materias\semestre 10\diseño\practica4\CubeSat_UD34_P2\Calculos\"/>
    </mc:Choice>
  </mc:AlternateContent>
  <xr:revisionPtr revIDLastSave="0" documentId="13_ncr:1_{ED41C725-0CAC-45C1-A6AD-8211F037E9F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Leeme" sheetId="1" r:id="rId1"/>
    <sheet name="Especificaciones" sheetId="2" r:id="rId2"/>
    <sheet name="Cambios_P3" sheetId="3" r:id="rId3"/>
    <sheet name="Seleccion" sheetId="4" r:id="rId4"/>
    <sheet name="Conectores" sheetId="7" r:id="rId5"/>
    <sheet name="Calculos" sheetId="8" r:id="rId6"/>
    <sheet name="Restricciones" sheetId="9" r:id="rId7"/>
    <sheet name="Fabricacion" sheetId="10" r:id="rId8"/>
    <sheet name="Directivas_Altium" sheetId="11" r:id="rId9"/>
    <sheet name="Ciclo_de_vida" sheetId="12" r:id="rId10"/>
    <sheet name="BOM" sheetId="13" r:id="rId11"/>
    <sheet name="Costos" sheetId="14" r:id="rId12"/>
    <sheet name="Fuentes" sheetId="16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33" i="14" l="1"/>
  <c r="Z33" i="14"/>
  <c r="AC33" i="14" s="1"/>
  <c r="V33" i="14"/>
  <c r="Y33" i="14" s="1"/>
  <c r="B33" i="14"/>
  <c r="AE32" i="14"/>
  <c r="AD32" i="14"/>
  <c r="AG32" i="14" s="1"/>
  <c r="AC32" i="14"/>
  <c r="Z32" i="14"/>
  <c r="B32" i="14"/>
  <c r="V32" i="14" s="1"/>
  <c r="AD31" i="14"/>
  <c r="Z31" i="14"/>
  <c r="AC31" i="14" s="1"/>
  <c r="B31" i="14"/>
  <c r="V31" i="14" s="1"/>
  <c r="B30" i="14"/>
  <c r="Z29" i="14"/>
  <c r="V29" i="14"/>
  <c r="B29" i="14"/>
  <c r="AD29" i="14" s="1"/>
  <c r="B28" i="14"/>
  <c r="AD27" i="14"/>
  <c r="AG27" i="14" s="1"/>
  <c r="V27" i="14"/>
  <c r="B27" i="14"/>
  <c r="Z27" i="14" s="1"/>
  <c r="AD26" i="14"/>
  <c r="AG26" i="14" s="1"/>
  <c r="B26" i="14"/>
  <c r="Z26" i="14" s="1"/>
  <c r="AD25" i="14"/>
  <c r="AG25" i="14" s="1"/>
  <c r="Z25" i="14"/>
  <c r="B25" i="14"/>
  <c r="V25" i="14" s="1"/>
  <c r="B24" i="14"/>
  <c r="AD24" i="14" s="1"/>
  <c r="Z23" i="14"/>
  <c r="B23" i="14"/>
  <c r="AD23" i="14" s="1"/>
  <c r="B22" i="14"/>
  <c r="AD22" i="14" s="1"/>
  <c r="AD21" i="14"/>
  <c r="AC21" i="14"/>
  <c r="Z21" i="14"/>
  <c r="AA21" i="14" s="1"/>
  <c r="AB21" i="14" s="1"/>
  <c r="V21" i="14"/>
  <c r="Y21" i="14" s="1"/>
  <c r="B21" i="14"/>
  <c r="AE20" i="14"/>
  <c r="AD20" i="14"/>
  <c r="AG20" i="14" s="1"/>
  <c r="AC20" i="14"/>
  <c r="Z20" i="14"/>
  <c r="B20" i="14"/>
  <c r="V20" i="14" s="1"/>
  <c r="AD19" i="14"/>
  <c r="Z19" i="14"/>
  <c r="AC19" i="14" s="1"/>
  <c r="B19" i="14"/>
  <c r="V19" i="14" s="1"/>
  <c r="B18" i="14"/>
  <c r="Z17" i="14"/>
  <c r="AC17" i="14" s="1"/>
  <c r="V17" i="14"/>
  <c r="B17" i="14"/>
  <c r="AD17" i="14" s="1"/>
  <c r="B16" i="14"/>
  <c r="AD15" i="14"/>
  <c r="AG15" i="14" s="1"/>
  <c r="V15" i="14"/>
  <c r="B15" i="14"/>
  <c r="Z15" i="14" s="1"/>
  <c r="AD14" i="14"/>
  <c r="AG14" i="14" s="1"/>
  <c r="B14" i="14"/>
  <c r="Z14" i="14" s="1"/>
  <c r="AD13" i="14"/>
  <c r="Z13" i="14"/>
  <c r="B13" i="14"/>
  <c r="V13" i="14" s="1"/>
  <c r="B12" i="14"/>
  <c r="AD12" i="14" s="1"/>
  <c r="Z11" i="14"/>
  <c r="B11" i="14"/>
  <c r="AD11" i="14" s="1"/>
  <c r="B10" i="14"/>
  <c r="AD9" i="14"/>
  <c r="AC9" i="14"/>
  <c r="Z9" i="14"/>
  <c r="AA9" i="14" s="1"/>
  <c r="AB9" i="14" s="1"/>
  <c r="V9" i="14"/>
  <c r="B9" i="14"/>
  <c r="AE8" i="14"/>
  <c r="AD8" i="14"/>
  <c r="AG8" i="14" s="1"/>
  <c r="AC8" i="14"/>
  <c r="Z8" i="14"/>
  <c r="B8" i="14"/>
  <c r="V8" i="14" s="1"/>
  <c r="AD7" i="14"/>
  <c r="Z7" i="14"/>
  <c r="AC7" i="14" s="1"/>
  <c r="B7" i="14"/>
  <c r="V7" i="14" s="1"/>
  <c r="B6" i="14"/>
  <c r="Z5" i="14"/>
  <c r="V5" i="14"/>
  <c r="B5" i="14"/>
  <c r="AD5" i="14" s="1"/>
  <c r="B4" i="14"/>
  <c r="B34" i="13"/>
  <c r="C104" i="8"/>
  <c r="C103" i="8"/>
  <c r="C102" i="8"/>
  <c r="C101" i="8"/>
  <c r="C99" i="8"/>
  <c r="C98" i="8"/>
  <c r="C97" i="8"/>
  <c r="C96" i="8"/>
  <c r="C93" i="8"/>
  <c r="C90" i="8"/>
  <c r="C89" i="8"/>
  <c r="C85" i="8"/>
  <c r="C81" i="8"/>
  <c r="C77" i="8"/>
  <c r="C79" i="8" s="1"/>
  <c r="C80" i="8" s="1"/>
  <c r="C73" i="8"/>
  <c r="C70" i="8"/>
  <c r="C71" i="8" s="1"/>
  <c r="C68" i="8"/>
  <c r="C62" i="8"/>
  <c r="C64" i="8" s="1"/>
  <c r="C65" i="8" s="1"/>
  <c r="C61" i="8"/>
  <c r="C58" i="8"/>
  <c r="C57" i="8"/>
  <c r="C59" i="8" s="1"/>
  <c r="C56" i="8"/>
  <c r="C52" i="8"/>
  <c r="C49" i="8"/>
  <c r="C48" i="8"/>
  <c r="C47" i="8"/>
  <c r="C46" i="8"/>
  <c r="C41" i="8"/>
  <c r="C43" i="8" s="1"/>
  <c r="C40" i="8"/>
  <c r="C35" i="8"/>
  <c r="C37" i="8" s="1"/>
  <c r="C34" i="8"/>
  <c r="C29" i="8"/>
  <c r="C31" i="8" s="1"/>
  <c r="C28" i="8"/>
  <c r="C24" i="8"/>
  <c r="C25" i="8" s="1"/>
  <c r="C17" i="8"/>
  <c r="C11" i="8"/>
  <c r="C10" i="8"/>
  <c r="C12" i="8" s="1"/>
  <c r="C8" i="8"/>
  <c r="C7" i="8"/>
  <c r="AE12" i="14" l="1"/>
  <c r="AF12" i="14" s="1"/>
  <c r="AG12" i="14"/>
  <c r="AG5" i="14"/>
  <c r="AE5" i="14"/>
  <c r="AG9" i="14"/>
  <c r="AE9" i="14"/>
  <c r="AF9" i="14" s="1"/>
  <c r="Y13" i="14"/>
  <c r="W13" i="14"/>
  <c r="X13" i="14" s="1"/>
  <c r="Z16" i="14"/>
  <c r="V16" i="14"/>
  <c r="AD16" i="14"/>
  <c r="AG19" i="14"/>
  <c r="AE19" i="14"/>
  <c r="AF19" i="14" s="1"/>
  <c r="AG21" i="14"/>
  <c r="AE21" i="14"/>
  <c r="AF21" i="14" s="1"/>
  <c r="AC25" i="14"/>
  <c r="AA25" i="14"/>
  <c r="AB25" i="14" s="1"/>
  <c r="Y32" i="14"/>
  <c r="W32" i="14"/>
  <c r="X32" i="14" s="1"/>
  <c r="Y15" i="14"/>
  <c r="W15" i="14"/>
  <c r="AG7" i="14"/>
  <c r="AE7" i="14"/>
  <c r="Y8" i="14"/>
  <c r="X8" i="14"/>
  <c r="AE22" i="14"/>
  <c r="AF22" i="14" s="1"/>
  <c r="AG22" i="14"/>
  <c r="AG29" i="14"/>
  <c r="AE29" i="14"/>
  <c r="AF29" i="14" s="1"/>
  <c r="AA5" i="14"/>
  <c r="AB5" i="14" s="1"/>
  <c r="AC5" i="14"/>
  <c r="W8" i="14"/>
  <c r="AC13" i="14"/>
  <c r="AA13" i="14"/>
  <c r="AB13" i="14" s="1"/>
  <c r="Y20" i="14"/>
  <c r="W20" i="14"/>
  <c r="X20" i="14" s="1"/>
  <c r="AB26" i="14"/>
  <c r="AA26" i="14"/>
  <c r="AC26" i="14"/>
  <c r="Y29" i="14"/>
  <c r="W29" i="14"/>
  <c r="X29" i="14" s="1"/>
  <c r="Y5" i="14"/>
  <c r="W5" i="14"/>
  <c r="X5" i="14" s="1"/>
  <c r="AD10" i="14"/>
  <c r="Z10" i="14"/>
  <c r="V10" i="14"/>
  <c r="AF5" i="14"/>
  <c r="AG13" i="14"/>
  <c r="AF13" i="14"/>
  <c r="AE13" i="14"/>
  <c r="AG17" i="14"/>
  <c r="AE17" i="14"/>
  <c r="AB20" i="14"/>
  <c r="AE11" i="14"/>
  <c r="AF11" i="14" s="1"/>
  <c r="AG11" i="14"/>
  <c r="AC23" i="14"/>
  <c r="AA23" i="14"/>
  <c r="AB23" i="14" s="1"/>
  <c r="V30" i="14"/>
  <c r="AD30" i="14"/>
  <c r="Z30" i="14"/>
  <c r="AF7" i="14"/>
  <c r="C20" i="8"/>
  <c r="C21" i="8" s="1"/>
  <c r="C16" i="8"/>
  <c r="C15" i="8"/>
  <c r="V6" i="14"/>
  <c r="AD6" i="14"/>
  <c r="Z6" i="14"/>
  <c r="AA14" i="14"/>
  <c r="AB14" i="14" s="1"/>
  <c r="AC14" i="14"/>
  <c r="Y17" i="14"/>
  <c r="X17" i="14"/>
  <c r="W17" i="14"/>
  <c r="AE23" i="14"/>
  <c r="AF23" i="14"/>
  <c r="AG23" i="14"/>
  <c r="AC11" i="14"/>
  <c r="AA11" i="14"/>
  <c r="AB11" i="14" s="1"/>
  <c r="AF17" i="14"/>
  <c r="AA27" i="14"/>
  <c r="AB27" i="14" s="1"/>
  <c r="AC27" i="14"/>
  <c r="V18" i="14"/>
  <c r="AD18" i="14"/>
  <c r="Z18" i="14"/>
  <c r="AE24" i="14"/>
  <c r="AG24" i="14"/>
  <c r="AF24" i="14"/>
  <c r="Y27" i="14"/>
  <c r="W27" i="14"/>
  <c r="Z4" i="14"/>
  <c r="V4" i="14"/>
  <c r="AD4" i="14"/>
  <c r="W7" i="14"/>
  <c r="X7" i="14" s="1"/>
  <c r="Y7" i="14"/>
  <c r="Y9" i="14"/>
  <c r="W9" i="14"/>
  <c r="X9" i="14" s="1"/>
  <c r="AA15" i="14"/>
  <c r="AB15" i="14"/>
  <c r="AC15" i="14"/>
  <c r="X27" i="14"/>
  <c r="W31" i="14"/>
  <c r="X31" i="14"/>
  <c r="Y31" i="14"/>
  <c r="AG33" i="14"/>
  <c r="AE33" i="14"/>
  <c r="AF33" i="14" s="1"/>
  <c r="X15" i="14"/>
  <c r="W19" i="14"/>
  <c r="X19" i="14"/>
  <c r="Y19" i="14"/>
  <c r="Y25" i="14"/>
  <c r="W25" i="14"/>
  <c r="X25" i="14" s="1"/>
  <c r="Z28" i="14"/>
  <c r="V28" i="14"/>
  <c r="AD28" i="14"/>
  <c r="AG31" i="14"/>
  <c r="AE31" i="14"/>
  <c r="AF31" i="14" s="1"/>
  <c r="AA17" i="14"/>
  <c r="AB17" i="14" s="1"/>
  <c r="W21" i="14"/>
  <c r="X21" i="14" s="1"/>
  <c r="V22" i="14"/>
  <c r="AE25" i="14"/>
  <c r="AF25" i="14" s="1"/>
  <c r="AA29" i="14"/>
  <c r="AB29" i="14" s="1"/>
  <c r="W33" i="14"/>
  <c r="X33" i="14" s="1"/>
  <c r="V11" i="14"/>
  <c r="AE14" i="14"/>
  <c r="AE26" i="14"/>
  <c r="AA7" i="14"/>
  <c r="AB7" i="14" s="1"/>
  <c r="V12" i="14"/>
  <c r="AE15" i="14"/>
  <c r="AF26" i="14"/>
  <c r="AE27" i="14"/>
  <c r="AF27" i="14" s="1"/>
  <c r="AC29" i="14"/>
  <c r="AA31" i="14"/>
  <c r="AB31" i="14" s="1"/>
  <c r="AA8" i="14"/>
  <c r="AB8" i="14" s="1"/>
  <c r="AA32" i="14"/>
  <c r="AB32" i="14" s="1"/>
  <c r="V23" i="14"/>
  <c r="AF14" i="14"/>
  <c r="AA19" i="14"/>
  <c r="V24" i="14"/>
  <c r="AF15" i="14"/>
  <c r="AB19" i="14"/>
  <c r="AA20" i="14"/>
  <c r="V14" i="14"/>
  <c r="Z22" i="14"/>
  <c r="V26" i="14"/>
  <c r="AA33" i="14"/>
  <c r="AB33" i="14" s="1"/>
  <c r="Z12" i="14"/>
  <c r="Z24" i="14"/>
  <c r="AF8" i="14"/>
  <c r="AF20" i="14"/>
  <c r="AF32" i="14"/>
  <c r="Y10" i="14" l="1"/>
  <c r="W10" i="14"/>
  <c r="X10" i="14" s="1"/>
  <c r="AA16" i="14"/>
  <c r="AB16" i="14" s="1"/>
  <c r="AC16" i="14"/>
  <c r="W24" i="14"/>
  <c r="X24" i="14" s="1"/>
  <c r="Y24" i="14"/>
  <c r="AC10" i="14"/>
  <c r="AA10" i="14"/>
  <c r="AB10" i="14" s="1"/>
  <c r="Y11" i="14"/>
  <c r="W11" i="14"/>
  <c r="X11" i="14" s="1"/>
  <c r="W6" i="14"/>
  <c r="X6" i="14" s="1"/>
  <c r="Y6" i="14"/>
  <c r="AA6" i="14"/>
  <c r="AC6" i="14"/>
  <c r="AB6" i="14"/>
  <c r="Y22" i="14"/>
  <c r="W22" i="14"/>
  <c r="X22" i="14" s="1"/>
  <c r="Y23" i="14"/>
  <c r="W23" i="14"/>
  <c r="X23" i="14" s="1"/>
  <c r="AC12" i="14"/>
  <c r="AA12" i="14"/>
  <c r="AB12" i="14" s="1"/>
  <c r="AC18" i="14"/>
  <c r="AA18" i="14"/>
  <c r="AB18" i="14" s="1"/>
  <c r="AE18" i="14"/>
  <c r="AF18" i="14" s="1"/>
  <c r="AG18" i="14"/>
  <c r="Y26" i="14"/>
  <c r="W26" i="14"/>
  <c r="X26" i="14" s="1"/>
  <c r="W18" i="14"/>
  <c r="X18" i="14" s="1"/>
  <c r="Y18" i="14"/>
  <c r="AC4" i="14"/>
  <c r="AA4" i="14"/>
  <c r="AB4" i="14" s="1"/>
  <c r="AC24" i="14"/>
  <c r="AA24" i="14"/>
  <c r="AB24" i="14" s="1"/>
  <c r="AE28" i="14"/>
  <c r="AF28" i="14" s="1"/>
  <c r="AG28" i="14"/>
  <c r="AA30" i="14"/>
  <c r="AC30" i="14"/>
  <c r="AB30" i="14"/>
  <c r="AG6" i="14"/>
  <c r="AE6" i="14"/>
  <c r="AF6" i="14" s="1"/>
  <c r="AE30" i="14"/>
  <c r="AF30" i="14" s="1"/>
  <c r="AG30" i="14"/>
  <c r="Y16" i="14"/>
  <c r="W16" i="14"/>
  <c r="X16" i="14" s="1"/>
  <c r="AE10" i="14"/>
  <c r="AF10" i="14" s="1"/>
  <c r="AG10" i="14"/>
  <c r="W12" i="14"/>
  <c r="X12" i="14" s="1"/>
  <c r="Y12" i="14"/>
  <c r="AC22" i="14"/>
  <c r="AA22" i="14"/>
  <c r="AB22" i="14" s="1"/>
  <c r="Y14" i="14"/>
  <c r="W14" i="14"/>
  <c r="X14" i="14" s="1"/>
  <c r="Y28" i="14"/>
  <c r="W28" i="14"/>
  <c r="X28" i="14" s="1"/>
  <c r="AE4" i="14"/>
  <c r="AF4" i="14" s="1"/>
  <c r="AG4" i="14"/>
  <c r="AC28" i="14"/>
  <c r="AA28" i="14"/>
  <c r="AB28" i="14"/>
  <c r="Y4" i="14"/>
  <c r="W4" i="14"/>
  <c r="X4" i="14" s="1"/>
  <c r="W30" i="14"/>
  <c r="X30" i="14" s="1"/>
  <c r="Y30" i="14"/>
  <c r="AE16" i="14"/>
  <c r="AF16" i="14" s="1"/>
  <c r="AG16" i="14"/>
  <c r="B37" i="14" l="1"/>
  <c r="B38" i="14"/>
  <c r="B36" i="14"/>
  <c r="E36" i="14" l="1"/>
  <c r="C36" i="14"/>
  <c r="F36" i="14" s="1"/>
  <c r="E38" i="14"/>
  <c r="C38" i="14"/>
  <c r="F38" i="14" s="1"/>
  <c r="E37" i="14"/>
  <c r="C37" i="14"/>
  <c r="F37" i="14" s="1"/>
</calcChain>
</file>

<file path=xl/sharedStrings.xml><?xml version="1.0" encoding="utf-8"?>
<sst xmlns="http://schemas.openxmlformats.org/spreadsheetml/2006/main" count="1594" uniqueCount="1074">
  <si>
    <t>CubeSat UD34 – Práctica 4 – PCB P2 OBC-ADCS: hoja de soporte</t>
  </si>
  <si>
    <t>Colores: azul = dato de entrada; negro = fórmula; amarillo = supuesto o valor estimado que debe revisarse.</t>
  </si>
  <si>
    <t>Requisito P3</t>
  </si>
  <si>
    <t>ET / interfaz</t>
  </si>
  <si>
    <t>Función en P2</t>
  </si>
  <si>
    <t>Implementación</t>
  </si>
  <si>
    <t>RF-02/RF-03</t>
  </si>
  <si>
    <t>ET-05, ET-06, ET-08</t>
  </si>
  <si>
    <t>Captura programada y archivo no volátil</t>
  </si>
  <si>
    <t>DCMI + DMA a SDRAM; eMMC 4 GB (≥1 GB útil)</t>
  </si>
  <si>
    <t>RF-05/RF-06</t>
  </si>
  <si>
    <t>IF04, IF05</t>
  </si>
  <si>
    <t>Telemetría y telecomando</t>
  </si>
  <si>
    <t>I2C1 a EPS; USART1 a UHF</t>
  </si>
  <si>
    <t>RF-04</t>
  </si>
  <si>
    <t>IF06</t>
  </si>
  <si>
    <t>Descarga de imágenes</t>
  </si>
  <si>
    <t>SPI2 a transmisor S (≥8 MHz)</t>
  </si>
  <si>
    <t>RF-07</t>
  </si>
  <si>
    <t>ET-17</t>
  </si>
  <si>
    <t>Determinación de actitud</t>
  </si>
  <si>
    <t>IMU SPI1, magnetómetro I2C2, 16 canales ADC solares, ≥10 Hz</t>
  </si>
  <si>
    <t>RF-08</t>
  </si>
  <si>
    <t>ET-16, ET-18, IF08, IF09</t>
  </si>
  <si>
    <t>Actuación de actitud</t>
  </si>
  <si>
    <t>3 puentes H (PWM) + medición de corriente; 3 UART a ruedas</t>
  </si>
  <si>
    <t>RF-12, RNF-13</t>
  </si>
  <si>
    <t>ET-23</t>
  </si>
  <si>
    <t>Tiempo a bordo</t>
  </si>
  <si>
    <t>RTC compensado; error ≤0,5 s en 48 h</t>
  </si>
  <si>
    <t>RF-13, RNF-14</t>
  </si>
  <si>
    <t>ET-24</t>
  </si>
  <si>
    <t>Supervisión</t>
  </si>
  <si>
    <t>Latido a EPS cada ≤10 s; NRST controlado por EPS; IWDG interno</t>
  </si>
  <si>
    <t>RNF-12</t>
  </si>
  <si>
    <t>ET-09, ET-10, ET-11</t>
  </si>
  <si>
    <t>Recursos de cómputo</t>
  </si>
  <si>
    <t>Cortex-M7 ≥400 MHz, SDRAM 32 MB, 2 MB flash doble banco, QSPI NOR</t>
  </si>
  <si>
    <t>RNF-15</t>
  </si>
  <si>
    <t>IF14</t>
  </si>
  <si>
    <t>Prueba independiente</t>
  </si>
  <si>
    <t>SWD local + umbilical (SWD/UART) por el bus</t>
  </si>
  <si>
    <t>RA-01</t>
  </si>
  <si>
    <t>ET-27</t>
  </si>
  <si>
    <t>Temperatura</t>
  </si>
  <si>
    <t>Componentes con rango ≥ −20…+50 °C (preferible −40…+85 °C)</t>
  </si>
  <si>
    <t>RA-03</t>
  </si>
  <si>
    <t>ET-22, ET-24</t>
  </si>
  <si>
    <t>SEL/SEU</t>
  </si>
  <si>
    <t>LCL en P1 por riel; ECC en flash/RAM; doble imagen de arranque</t>
  </si>
  <si>
    <t>RA-05</t>
  </si>
  <si>
    <t>ET-28</t>
  </si>
  <si>
    <t>EMC</t>
  </si>
  <si>
    <t>Plano de tierra continuo; relojes rápidos lejos del bus hacia COM</t>
  </si>
  <si>
    <t>RN-10</t>
  </si>
  <si>
    <t>—</t>
  </si>
  <si>
    <t>Buenas prácticas</t>
  </si>
  <si>
    <t>ECSS-Q-ST-70-12C para diseño de PCB</t>
  </si>
  <si>
    <t>ID</t>
  </si>
  <si>
    <t>Decisión P3 afectada</t>
  </si>
  <si>
    <t>Cambio</t>
  </si>
  <si>
    <t>Efecto en el sistema</t>
  </si>
  <si>
    <t>C-01</t>
  </si>
  <si>
    <t>TBD-01 (conectores)</t>
  </si>
  <si>
    <t>Resuelto: apilado PC/104 con 2× Samtec ESQ-126-39-G-D; FFC Hirose FH12 de 40 pines a P4; JST GH de 8 pines a paneles y ruedas.</t>
  </si>
  <si>
    <t>El resto de tarjetas debe adoptar la asignación de pines de la Tabla de conectores.</t>
  </si>
  <si>
    <t>C-02</t>
  </si>
  <si>
    <t>ET-23 RTC ≤2 ppm</t>
  </si>
  <si>
    <t>Se adopta RV-3032-C7: ±1,5 ppm (0…50 °C) y ±2,5 ppm (−40…85 °C).</t>
  </si>
  <si>
    <t>Deriva peor caso 0,43 s en 48 h: sigue cumpliendo RNF-13 (≤0,5 s).</t>
  </si>
  <si>
    <t>C-03</t>
  </si>
  <si>
    <t>OBC 0,90 W máx (Tabla de potencia P3)</t>
  </si>
  <si>
    <t>Pico calculado de P2: 1,57 W (MCU 400 MHz con todos los periféricos 220 mA, SDRAM 105 mA, eMMC 121 mA, NOR 25 mA, sensores 4 mA; valores de hoja de datos).</t>
  </si>
  <si>
    <t>Solo en ráfagas de captura/compresión (≈2 min/sesión): +0,02 Wh/órbita de peor caso; el balance diario (+1,8 Wh) no cambia de signo.</t>
  </si>
  <si>
    <t>C-04</t>
  </si>
  <si>
    <t>I2C-2 compartido con la cámara (IF07)</t>
  </si>
  <si>
    <t>La configuración de la cámara pasa a I2C3 dedicado.</t>
  </si>
  <si>
    <t>Una falla en el cable de la cámara no bloquea magnetómetro ni RTC.</t>
  </si>
  <si>
    <t>C-05</t>
  </si>
  <si>
    <t>Magnetómetro (clase MEMS)</t>
  </si>
  <si>
    <t>LIS2MDL en lugar de LIS3MDL.</t>
  </si>
  <si>
    <t>LIS3MDL está NRND en ST y obsoleto en DigiKey.</t>
  </si>
  <si>
    <t>C-06</t>
  </si>
  <si>
    <t>Reloj lento del MCU</t>
  </si>
  <si>
    <t>El RTC externo entrega 32,768 kHz compensado al LSE del MCU (modo bypass).</t>
  </si>
  <si>
    <t>Se elimina el cristal de 32 kHz y la base de tiempo del MCU hereda la compensación.</t>
  </si>
  <si>
    <t>C-07</t>
  </si>
  <si>
    <t>Magnetómetro en SPI junto con la IMU (diagrama de P2, P3)</t>
  </si>
  <si>
    <t>El magnetómetro LIS2MDL pasa a I2C2, compartido con el RTC; la IMU conserva su SPI1 dedicado.</t>
  </si>
  <si>
    <t>El LIS2MDL se comunica por I2C a 400 kHz, suficiente para 10 Hz (ET-17); SPI1 queda solo para la IMU, que necesita mayor tasa. No cambia ningún requisito.</t>
  </si>
  <si>
    <t>C-08</t>
  </si>
  <si>
    <t>eMMC ASFC4G31M-51BIN (selección inicial de la P4)</t>
  </si>
  <si>
    <t>Se usa ASFC4G31MA-51BIN, misma familia, capacidad, tensiones y encapsulado.</t>
  </si>
  <si>
    <t>El M-51BIN está obsoleto (LTB 2025-06-03) y sin stock. El MA sube el costo de la eMMC a 39–41 USD y su Tabla 4 da 121 mA en el modo usado (C-03). Octopart también lo marca obsoleto (LTB 2026-06-30): comprar el lote pronto o buscar reemplazo.</t>
  </si>
  <si>
    <t>C-09</t>
  </si>
  <si>
    <t>Cristal HSE ABM8-25.000MHZ-D2Y-T (CL 18 pF) elegido en la P4</t>
  </si>
  <si>
    <t>Se usa ECS-250-8-33-JGN-TR (25 MHz, CL 8 pF, ESR 40 Ω, C0 5 pF, −40…85 °C) con condensadores de 6,8 pF.</t>
  </si>
  <si>
    <t>Con el ABM8, gmcrit = 3,08 mA/V supera el Gm_crit_max de 1,5 mA/V del STM32H743 (DS12110 Tabla 34; AN2867 §3.4): el arranque no estaba garantizado. Con el ECS, gmcrit = 0,67 mA/V. Costo similar (0,29–0,45 USD).</t>
  </si>
  <si>
    <t>C-10</t>
  </si>
  <si>
    <t>eMMC ASFC4G31MA-51BIN (C-08)</t>
  </si>
  <si>
    <t>Se usa ISSI IS21EF04GP-JCLI (eMMC 5.1, 4 GB pSLC, −40…85 °C, VCC/VCCQ 2,7–3,6 V, 153 FBGA 11,5×13 mm con el mapa de bolas JEDEC). C10 (VDDi) = 1 µF.</t>
  </si>
  <si>
    <t>Octopart marca el ASFC4G31MA obsoleto (LTB 2026-06-30, LTD 2026-12-30). El ISSI está activo (Arrow; Suntsu 1.333 u el 2026-10-24) y su hoja sí da el condensador de VDDi (≥0,1 µF, 1 µF recomendado; Tabla 8.3 CREG 1 µF mín.). Consumo 120 mA (SDR52). Precio sin publicar: se cotiza por RFQ.</t>
  </si>
  <si>
    <t>C-12</t>
  </si>
  <si>
    <t>eMMC IS21EF04GP-JCLI (153 bolas) y J9 FTSH-105-01-F-DV</t>
  </si>
  <si>
    <t>IS21EF04GP-JQLI (misma memoria, 100-LFBGA 14×18) y FTSH-105-01-L-DV-K (polarizado, pin 7 = KEY)</t>
  </si>
  <si>
    <t>Son los modelos de la librería de Altium que usa el equipo. Misma hoja de datos y mismo circuito; la JQLI está activa (Suntsu 312 u). El J9 polarizado evita conectar el depurador al revés.</t>
  </si>
  <si>
    <t>C-11</t>
  </si>
  <si>
    <t>Pasivos «por definir en Altium» y precio estimado</t>
  </si>
  <si>
    <t>Referencia exacta de cada resistencia, condensador, shunt y ferrita (hoja BOM), con dieléctrico X7R/C0G y tensión ≥2× la de trabajo</t>
  </si>
  <si>
    <t>Cantidades exactas desde el esquemático de referencia (58 × 100 nF, 16 × 1 kΩ…); costo con precios por escala de LCSC/Future; ciclo de vida verificado</t>
  </si>
  <si>
    <t>Función</t>
  </si>
  <si>
    <t>Especificación</t>
  </si>
  <si>
    <t>Elegido</t>
  </si>
  <si>
    <t>Alternativas</t>
  </si>
  <si>
    <t>Justificación</t>
  </si>
  <si>
    <t>Fuente (sección)</t>
  </si>
  <si>
    <t>MCU</t>
  </si>
  <si>
    <t>ET-10/11, ET-07, RNF-12</t>
  </si>
  <si>
    <t>STM32H743IIT6 (LQFP176)</t>
  </si>
  <si>
    <t>STM32H743ZIT6 (LQFP144); STM32H753 (crypto)</t>
  </si>
  <si>
    <t>Único encapsulado no-BGA con FMC-SDRAM 16 bits + DCMI 12 bits + SDMMC + QUADSPI simultáneos y ≥20 canales ADC; 1,62–3,6 V, −40…85 °C; 2 MB flash doble banco para dos imágenes. LQFP144 deja pocos pines para ADC tras FMC y DCMI.</t>
  </si>
  <si>
    <t>DS12110 §1 (características), §3.15 FMC, §3.16 QUADSPI, §3.24 DCMI; ficha DigiKey 497-17722-ND</t>
  </si>
  <si>
    <t>SDRAM</t>
  </si>
  <si>
    <t>ET-09</t>
  </si>
  <si>
    <t>ISSI IS42S16160L-6TLI (256 Mb ×16)</t>
  </si>
  <si>
    <t>IS42S16160J-6TLI (no stock); Alliance AS4C16M16SA</t>
  </si>
  <si>
    <t>32 MB a 3,3 V, 166 MHz (margen sobre FMC ≤100 MHz), −40…85 °C, TSOP-II (sin BGA). La versión J está en ‘available but not stocked’.</t>
  </si>
  <si>
    <t>Ficha ISSI/Avnet 256Mb SDRAM (refresco 8K/64 ms); DigiKey 706-IS42S16160L-6TLI-ND</t>
  </si>
  <si>
    <t>Almacenamiento</t>
  </si>
  <si>
    <t>ET-08, RNF-04</t>
  </si>
  <si>
    <t>ISSI IS21EF04GP-JQLI (eMMC 5.1, 4 GB pSLC)</t>
  </si>
  <si>
    <t>Kingston EMMC04G-WT32-01G10; SD-NAND LGA-8</t>
  </si>
  <si>
    <t>eMMC 5.1 industrial −40…85 °C, NAND pSLC (más ciclos de escritura que MLC); VCC 2,7–3,6 V y VCCQ 2,7–3,6 V (3,3 V como el MCU); 153 FBGA 11,5×13×1,0 mm con el mapa JEDEC. Reemplaza al ASFC4G31MA-51BIN, obsoleto (C-10). Activo (Arrow, Suntsu: 1.333 u, 2026-10-24).</t>
  </si>
  <si>
    <t>ISSI IS21/22EF04GP/08GP datasheet Rev. A2 (30-05-2024): §1.2 Tabla 1.1 (p. 7), §2 mapa de bolas (p. 14), §3 pines (p. 16), Tabla 8.1 tensiones, Tabla 8.3 (p. 41), §9.2 paquete (p. 52); Arrow y Suntsu (2026-10-24/25)</t>
  </si>
  <si>
    <t>Memoria de arranque</t>
  </si>
  <si>
    <t>ET-11, RNF-14</t>
  </si>
  <si>
    <t>Winbond W25Q128JVSIQ (QSPI NOR 128 Mb)</t>
  </si>
  <si>
    <t>Micron MT25QL128; MRAM SPI</t>
  </si>
  <si>
    <t>Imagen de respaldo y parámetros; 133 MHz QSPI, −40…85 °C, SOIC-8 208 mil fácil de inspeccionar; alto stock.</t>
  </si>
  <si>
    <t>Hoja de datos W25Q128JV; DigiKey W25Q128JVSIQ-ND</t>
  </si>
  <si>
    <t>IMU</t>
  </si>
  <si>
    <t>ST ISM330DHCXTR</t>
  </si>
  <si>
    <t>ST LSM6DSO; Bosch BMI088</t>
  </si>
  <si>
    <t>Grado industrial −40…105 °C con compensación de temperatura; SPI dedicado; ±125 °/s seleccionable para resolución fina.</t>
  </si>
  <si>
    <t>Página de producto ST ISM330DHCX; DigiKey 497-19784-1-ND</t>
  </si>
  <si>
    <t>Magnetómetro</t>
  </si>
  <si>
    <t>ST LIS2MDLTR</t>
  </si>
  <si>
    <t>ST LIS3MDL (NRND); PNI RM3100 (módulo grande)</t>
  </si>
  <si>
    <t>Activo, 1,71–3,6 V, −40…85 °C, LGA-12 2×2 mm; ±50 G cubre el campo terrestre (~0,3 G) con margen ante campos internos.</t>
  </si>
  <si>
    <t>Página ST LIS2MDL; Newark 07AH6648</t>
  </si>
  <si>
    <t>RTC</t>
  </si>
  <si>
    <t>ET-23, RNF-13</t>
  </si>
  <si>
    <t>Micro Crystal RV-3032-C7 (2,5 ppm)</t>
  </si>
  <si>
    <t>Maxim DS3231M; RV-3028-C7 (1 ppm a 25 °C, sin compensación)</t>
  </si>
  <si>
    <t>Compensado de fábrica: ±1,5 ppm (0…50 °C), ±2,5 ppm (−40…85 °C); 160 nA; CLKOUT 32,768 kHz para el LSE del MCU.</t>
  </si>
  <si>
    <t>Página Micro Crystal RV-3032-C7; DigiKey 2195-RV-3032-C7…</t>
  </si>
  <si>
    <t>Puente H MTQ</t>
  </si>
  <si>
    <t>IF08, ET-18</t>
  </si>
  <si>
    <t>TI DRV8837DSGR ×3</t>
  </si>
  <si>
    <t>TI DRV8833 (doble); DRV8212</t>
  </si>
  <si>
    <t>VM 0–11 V (5 V nominal) y 1,8 A frente a ≤0,12 A por eje; lógica 1,8–7 V; nSLEEP permite apagar las bobinas en reposo.</t>
  </si>
  <si>
    <t>Hoja de datos TI DRV8837; Mouser 595-DRV8837DSGR</t>
  </si>
  <si>
    <t>Medición de corriente MTQ</t>
  </si>
  <si>
    <t>IF08</t>
  </si>
  <si>
    <t>TI INA180A2IDBVR ×3</t>
  </si>
  <si>
    <t>INA219 (I2C); shunt + ADC directo</t>
  </si>
  <si>
    <t>Ganancia fija 50 V/V ±1 %, modo común −0,2…26 V (lado alto en 5 V), salida analógica al ADC del MCU.</t>
  </si>
  <si>
    <t>Página TI INA180; DigiKey 296-47653-1-ND</t>
  </si>
  <si>
    <t>Conector de apilado</t>
  </si>
  <si>
    <t>TBD-01, IF03–IF06, IF14</t>
  </si>
  <si>
    <t>Samtec ESQ-126-39-G-D ×2</t>
  </si>
  <si>
    <t>Samtec ESQ-126-37; conector propietario de la estructura</t>
  </si>
  <si>
    <t>Estándar PC/104 usado por estructuras 1U; 5,7 A por contacto (dato distribuidor); −55…125 °C.</t>
  </si>
  <si>
    <t>Master Electronics / Electro Sonic ESQ-126-39-G-D</t>
  </si>
  <si>
    <t>Conector cámara</t>
  </si>
  <si>
    <t>IF07</t>
  </si>
  <si>
    <t>Hirose FH12-40S-0.5SH(55)</t>
  </si>
  <si>
    <t>TE / Amphenol FFC 0,5 mm</t>
  </si>
  <si>
    <t>40 posiciones permiten intercalar 15 tierras con 21 señales; 0,5 A/contacto; −40…85 °C.</t>
  </si>
  <si>
    <t>Farnell 1324556</t>
  </si>
  <si>
    <t>Conectores paneles y ruedas</t>
  </si>
  <si>
    <t>IF08–IF10</t>
  </si>
  <si>
    <t>JST SM08B-GHS-TB ×5</t>
  </si>
  <si>
    <t>Molex PicoBlade</t>
  </si>
  <si>
    <t>Cierre por rampa (vibración), 1 A, 50 V; −25…85 °C cubre el rango interno −20…+50 °C.</t>
  </si>
  <si>
    <t>RS 175-5600</t>
  </si>
  <si>
    <t>CAM_TRIG</t>
  </si>
  <si>
    <t>HSE</t>
  </si>
  <si>
    <t>Pin</t>
  </si>
  <si>
    <t>Red</t>
  </si>
  <si>
    <t>DCMI_D4</t>
  </si>
  <si>
    <t>DCMI_D6</t>
  </si>
  <si>
    <t>DCMI_D7</t>
  </si>
  <si>
    <t>RW3_RXD</t>
  </si>
  <si>
    <t>CAM_NTC</t>
  </si>
  <si>
    <t>DCMI_HSYNC</t>
  </si>
  <si>
    <t>DCMI_PIXCLK</t>
  </si>
  <si>
    <t>DCMI_D8</t>
  </si>
  <si>
    <t>I2C3_SCL</t>
  </si>
  <si>
    <t>I2C3_SDA</t>
  </si>
  <si>
    <t>DCMI_D0</t>
  </si>
  <si>
    <t>DCMI_D1</t>
  </si>
  <si>
    <t>DCMI_D3</t>
  </si>
  <si>
    <t>UMB_RXD</t>
  </si>
  <si>
    <t>UMB_TXD</t>
  </si>
  <si>
    <t>S_MISO</t>
  </si>
  <si>
    <t>UHF_RXD</t>
  </si>
  <si>
    <t>OBC_HB</t>
  </si>
  <si>
    <t>CAM_XCLK</t>
  </si>
  <si>
    <t>S_CS_N</t>
  </si>
  <si>
    <t>RW3_TXD</t>
  </si>
  <si>
    <t>SWDIO</t>
  </si>
  <si>
    <t>UHF_EN</t>
  </si>
  <si>
    <t>UHF_RST_N</t>
  </si>
  <si>
    <t>DCMI_D11</t>
  </si>
  <si>
    <t>S_SCK</t>
  </si>
  <si>
    <t>DCMI_D9</t>
  </si>
  <si>
    <t>S_MOSI</t>
  </si>
  <si>
    <t>SWCLK</t>
  </si>
  <si>
    <t>EMMC_CK</t>
  </si>
  <si>
    <t>DCMI_D5</t>
  </si>
  <si>
    <t>RW1_TXD</t>
  </si>
  <si>
    <t>RW1_RXD</t>
  </si>
  <si>
    <t>RW2_RXD</t>
  </si>
  <si>
    <t>DCMI_D2</t>
  </si>
  <si>
    <t>S_STATUS</t>
  </si>
  <si>
    <t>RW2_TXD</t>
  </si>
  <si>
    <t>SWO</t>
  </si>
  <si>
    <t>DCMI_D10</t>
  </si>
  <si>
    <t>UHF_TXD</t>
  </si>
  <si>
    <t>DCMI_VSYNC</t>
  </si>
  <si>
    <t>I2C1_SCL</t>
  </si>
  <si>
    <t>I2C1_SDA</t>
  </si>
  <si>
    <t>S_EN</t>
  </si>
  <si>
    <t>CAM_RST_N</t>
  </si>
  <si>
    <t>CAM_STBY</t>
  </si>
  <si>
    <t>VBAT</t>
  </si>
  <si>
    <t>NRST</t>
  </si>
  <si>
    <t>VREF+</t>
  </si>
  <si>
    <t>VDDA</t>
  </si>
  <si>
    <t>VCAP</t>
  </si>
  <si>
    <t>J1 – Samtec ESQ-126-39-G-D (H1, señales; pines no listados: paso sin conexión)</t>
  </si>
  <si>
    <t>Interfaz P3</t>
  </si>
  <si>
    <t>IF04</t>
  </si>
  <si>
    <t>GND</t>
  </si>
  <si>
    <t>IF04 (latido OBC→EPS)</t>
  </si>
  <si>
    <t>OBC_RST_N</t>
  </si>
  <si>
    <t>IF04 (EPS→NRST, colector abierto)</t>
  </si>
  <si>
    <t>IF05 (OBC→UHF)</t>
  </si>
  <si>
    <t>IF05</t>
  </si>
  <si>
    <t>UMB_SWDIO</t>
  </si>
  <si>
    <t>UMB_SWCLK</t>
  </si>
  <si>
    <t>UMB_NRST</t>
  </si>
  <si>
    <t>IF14 (UART5)</t>
  </si>
  <si>
    <t>J2 – Samtec ESQ-126-39-G-D (H2, potencia; pines no listados: paso sin conexión)</t>
  </si>
  <si>
    <t>3V3_SW_OBC</t>
  </si>
  <si>
    <t>IF03</t>
  </si>
  <si>
    <t>3V3_SW_CAM</t>
  </si>
  <si>
    <t>IF03 (paso a P4)</t>
  </si>
  <si>
    <t>5V_SW_ADCS</t>
  </si>
  <si>
    <t>IF03 (MTQ + ruedas)</t>
  </si>
  <si>
    <t>solo paso (no se usa en P2)</t>
  </si>
  <si>
    <t>solo paso</t>
  </si>
  <si>
    <t>J3 – Hirose FH12-40S-0.5SH(55) (FFC a P4, IF07)</t>
  </si>
  <si>
    <t>J4 (+X), J5 (+Y), J6 (−X), J7 (−Y) – JST SM08B-GHS-TB (paneles; n = cara). MTQ: X en J4, Y en J5, Z en J6; J7 pines 6–7 NC</t>
  </si>
  <si>
    <t>SUNn_A</t>
  </si>
  <si>
    <t>SUNn_B</t>
  </si>
  <si>
    <t>SUNn_C</t>
  </si>
  <si>
    <t>SUNn_D</t>
  </si>
  <si>
    <t>GND (retorno fotodiodos)</t>
  </si>
  <si>
    <t>MTQn_A</t>
  </si>
  <si>
    <t>MTQn_B</t>
  </si>
  <si>
    <t>J8 – JST SM08B-GHS-TB (ruedas, IF09)</t>
  </si>
  <si>
    <t>J9 – Samtec FTSH-105-01-F-DV (SWD, Cortex 10 pines)</t>
  </si>
  <si>
    <t>VTREF (3V3)</t>
  </si>
  <si>
    <t>NC (llave)</t>
  </si>
  <si>
    <t>NC</t>
  </si>
  <si>
    <t>Cálculo</t>
  </si>
  <si>
    <t>Parámetro</t>
  </si>
  <si>
    <t>Valor</t>
  </si>
  <si>
    <t>Unidad</t>
  </si>
  <si>
    <t>Fuente / fórmula</t>
  </si>
  <si>
    <t>Consumo 3V3 máx</t>
  </si>
  <si>
    <t>MCU 400 MHz, todos los periféricos</t>
  </si>
  <si>
    <t>mA</t>
  </si>
  <si>
    <t>Emcraft STM32H7 SOM (según hoja de datos STM32H75xB)</t>
  </si>
  <si>
    <t>SDRAM auto-refresco (Idd5, grado -6)</t>
  </si>
  <si>
    <t>IS42S16160L Rev. A, DC Electrical Characteristics 1, p. 18: Idd5 = 105 mA (máx. de la tabla)</t>
  </si>
  <si>
    <t>eMMC lectura SDR52 (ICC + ICCQ)</t>
  </si>
  <si>
    <t>IS21/22EF04GP (misma tabla para JCLI y JQLI) Rev. A2 (30-05-2024), Tabla 1.1, §1.2, p. 7: SDR52 lectura 20 mA ICC + 100 mA ICCQ (escritura 4 GB: 40 + 70 = 110 mA); modo usado: SDR 4 bits ≤50 MHz</t>
  </si>
  <si>
    <t>NOR QSPI programa/borrado (peor caso)</t>
  </si>
  <si>
    <t>W25Q128JV Rev J, §9.4 DC Electrical Characteristics: ICC4–ICC7 = 25 mA máx</t>
  </si>
  <si>
    <t>IMU + MAG + RTC + 3×INA180 + pull-ups</t>
  </si>
  <si>
    <t>INA180 0,26 mA máx c/u (TI); resto &lt;1 mA (estimado)</t>
  </si>
  <si>
    <t>Total P2</t>
  </si>
  <si>
    <t>Suma</t>
  </si>
  <si>
    <t>Potencia P2 máxima</t>
  </si>
  <si>
    <t>W</t>
  </si>
  <si>
    <t>P = V·I</t>
  </si>
  <si>
    <t>Consumo nominal</t>
  </si>
  <si>
    <t>Potencia P2 nominal (P3)</t>
  </si>
  <si>
    <t>P3 Tabla de potencia (clase Tabla 8-4 SoA)</t>
  </si>
  <si>
    <t>Paso de corriente</t>
  </si>
  <si>
    <t>3V3_SW_CAM a P4</t>
  </si>
  <si>
    <t>P3: cámara 0,80 W máx</t>
  </si>
  <si>
    <t>5V_SW_ADCS (MTQ + ruedas)</t>
  </si>
  <si>
    <t>P3: MTQ 1,47 W, ruedas 1,13 W</t>
  </si>
  <si>
    <t>3V3 total por el conector</t>
  </si>
  <si>
    <t>Ancho de pista (IPC-2221)</t>
  </si>
  <si>
    <t>Elevación de temperatura admitida</t>
  </si>
  <si>
    <t>°C</t>
  </si>
  <si>
    <t>Supuesto conservador (vacío: sin convección)</t>
  </si>
  <si>
    <t>Espesor de cobre 1 oz</t>
  </si>
  <si>
    <t>mil</t>
  </si>
  <si>
    <t>1 oz = 35 µm</t>
  </si>
  <si>
    <t>Ancho mínimo externo para 3V3 total</t>
  </si>
  <si>
    <t>mm</t>
  </si>
  <si>
    <t>A=(I/(k·ΔT^0.44))^(1/0.725), k=0,048 externo</t>
  </si>
  <si>
    <t>Ancho mínimo interno para 3V3 total</t>
  </si>
  <si>
    <t>k=0,024 interno</t>
  </si>
  <si>
    <t>Ancho mínimo externo para 5V_ADCS</t>
  </si>
  <si>
    <t>Caída de tensión</t>
  </si>
  <si>
    <t>Longitud de un tramo de distribución</t>
  </si>
  <si>
    <t>Supuesto (tarjeta de ~90 mm)</t>
  </si>
  <si>
    <t>Ancho de trazo evaluado</t>
  </si>
  <si>
    <t>PCB-01</t>
  </si>
  <si>
    <t>Caída en 3V3 con ese trazo</t>
  </si>
  <si>
    <t>mV</t>
  </si>
  <si>
    <t>ΔV = ρ·L/(w·t)·I; ρCu = 1,72e-8 Ω·m</t>
  </si>
  <si>
    <t>¿Cumple ≤30 mV con trazo?</t>
  </si>
  <si>
    <t>Capacidad de carga del cristal CL</t>
  </si>
  <si>
    <t>pF</t>
  </si>
  <si>
    <t>ECS-250-8-33-JGN-TR (ECX-32): CL = 8 pF</t>
  </si>
  <si>
    <t>Capacidad parásita estimada</t>
  </si>
  <si>
    <t>AN2867: típico 2–5 pF (se toma el máximo)</t>
  </si>
  <si>
    <t>Condensador de carga calculado</t>
  </si>
  <si>
    <t>AN2867: CL = C1·C2/(C1+C2) + Cs → C1=C2=2(CL−Cs)</t>
  </si>
  <si>
    <t>Valor normalizado</t>
  </si>
  <si>
    <t>Serie E12: 6,8 pF (CL efectiva 8,4 pF con Cs = 5 pF)</t>
  </si>
  <si>
    <t>Pull-up I2C1</t>
  </si>
  <si>
    <t>Capacidad del bus estimada</t>
  </si>
  <si>
    <t>Estimado (conector/FFC + entradas)</t>
  </si>
  <si>
    <t>Tiempo de subida máx 100 kHz (EPS por el bus)</t>
  </si>
  <si>
    <t>ns</t>
  </si>
  <si>
    <t>UM10204</t>
  </si>
  <si>
    <t>Rp máxima</t>
  </si>
  <si>
    <t>Ω</t>
  </si>
  <si>
    <t>Rp(max)=tr/(0,8473·Cb) (UM10204)</t>
  </si>
  <si>
    <t>Rp mínima</t>
  </si>
  <si>
    <t>Rp(min)=(VDD−VOL)/IOL, 3 mA (UM10204)</t>
  </si>
  <si>
    <t>Rp elegida</t>
  </si>
  <si>
    <t>Entre mínimo y máximo</t>
  </si>
  <si>
    <t>¿Dentro de rango?</t>
  </si>
  <si>
    <t>Pull-up I2C2</t>
  </si>
  <si>
    <t>Tiempo de subida máx 400 kHz (local)</t>
  </si>
  <si>
    <t>Pull-up I2C3</t>
  </si>
  <si>
    <t>Tiempo de subida máx 100 kHz (FFC a P4)</t>
  </si>
  <si>
    <t>Medición MTQ</t>
  </si>
  <si>
    <t>Corriente máxima por eje</t>
  </si>
  <si>
    <t>Shunt</t>
  </si>
  <si>
    <t>Salida INA180A2 a Imax</t>
  </si>
  <si>
    <t>V</t>
  </si>
  <si>
    <t>Vout = G·Rsh·I, G = 50 V/V</t>
  </si>
  <si>
    <t>Disipación en el shunt</t>
  </si>
  <si>
    <t>mW</t>
  </si>
  <si>
    <t>P = R·I²</t>
  </si>
  <si>
    <t>Caída en el shunt</t>
  </si>
  <si>
    <t>Resistencia mínima de bobina (dato para P1/paneles)</t>
  </si>
  <si>
    <t>R ≥ V/Imax</t>
  </si>
  <si>
    <t>Filtro solar</t>
  </si>
  <si>
    <t>R serie</t>
  </si>
  <si>
    <t>C a GND</t>
  </si>
  <si>
    <t>nF</t>
  </si>
  <si>
    <t>Frecuencia de corte</t>
  </si>
  <si>
    <t>Hz</t>
  </si>
  <si>
    <t>fc = 1/(2πRC); muestreo 10 Hz</t>
  </si>
  <si>
    <t>Reloj SDCLK</t>
  </si>
  <si>
    <t>MHz</t>
  </si>
  <si>
    <t>FMC ≤100 MHz síncrono (página ST STM32H743)</t>
  </si>
  <si>
    <t>Filas a refrescar</t>
  </si>
  <si>
    <t>IS42S16160 (8K/64 ms)</t>
  </si>
  <si>
    <t>Periodo de refresco</t>
  </si>
  <si>
    <t>ms</t>
  </si>
  <si>
    <t>IS42S16160 industrial</t>
  </si>
  <si>
    <t>Registro FMC_SDRTR COUNT</t>
  </si>
  <si>
    <t>ciclos</t>
  </si>
  <si>
    <t>COUNT = (Tref/filas)·fSDCLK − 20 (RM0433)</t>
  </si>
  <si>
    <t>Ancho de banda pico</t>
  </si>
  <si>
    <t>MB/s</t>
  </si>
  <si>
    <t>16 bits × fSDCLK</t>
  </si>
  <si>
    <t>DCMI</t>
  </si>
  <si>
    <t>Flujo de la cámara a SDRAM</t>
  </si>
  <si>
    <t>48 MHz × 2 bytes/píxel (ET-07)</t>
  </si>
  <si>
    <t>¿SDRAM soporta la captura?</t>
  </si>
  <si>
    <t>Integridad de señal</t>
  </si>
  <si>
    <t>εr prepreg 7628</t>
  </si>
  <si>
    <t>JLCPCB</t>
  </si>
  <si>
    <t>εr efectiva microstrip (w/h≈1,7)</t>
  </si>
  <si>
    <t>Hammerstad</t>
  </si>
  <si>
    <t>Retardo por mm</t>
  </si>
  <si>
    <t>ps/mm</t>
  </si>
  <si>
    <t>tpd = √εeff / c</t>
  </si>
  <si>
    <t>Desajuste de longitud permitido</t>
  </si>
  <si>
    <t>PCB-09, PCB-11</t>
  </si>
  <si>
    <t>Sesgo resultante</t>
  </si>
  <si>
    <t>ps</t>
  </si>
  <si>
    <t>Fracción del periodo a 100 MHz</t>
  </si>
  <si>
    <t>Impedancia</t>
  </si>
  <si>
    <t>Altura dieléctrica L1–L2</t>
  </si>
  <si>
    <t>Pila estándar 4 capas (prepreg 7628), a confirmar</t>
  </si>
  <si>
    <t>Ancho de pista</t>
  </si>
  <si>
    <t>Z0 microstrip</t>
  </si>
  <si>
    <t>IPC-2141 (preliminar)</t>
  </si>
  <si>
    <t>Distancia a corrientes MTQ</t>
  </si>
  <si>
    <t>PCB-16</t>
  </si>
  <si>
    <t>Campo parásito de 0,12 A</t>
  </si>
  <si>
    <t>µT</t>
  </si>
  <si>
    <t>B = µ0·I/(2πr)</t>
  </si>
  <si>
    <t>Fracción del campo terrestre (30 µT)</t>
  </si>
  <si>
    <t>Precisión peor caso</t>
  </si>
  <si>
    <t>ppm</t>
  </si>
  <si>
    <t>RV-3032-C7 (−40…85 °C)</t>
  </si>
  <si>
    <t>Deriva en 48 h</t>
  </si>
  <si>
    <t>s</t>
  </si>
  <si>
    <t>Debe ser ≤0,5 s (RNF-13)</t>
  </si>
  <si>
    <t>HSE: arranque</t>
  </si>
  <si>
    <t>ESR máx. del cristal</t>
  </si>
  <si>
    <t>ECX-32: 24–54 MHz → 40 Ω máx</t>
  </si>
  <si>
    <t>Capacidad paralelo C0</t>
  </si>
  <si>
    <t>ECX-32 (C0 = 5 pF)</t>
  </si>
  <si>
    <t>Frecuencia</t>
  </si>
  <si>
    <t>gmcrit = 4·ESR·(2πF)²·(C0+CL)²</t>
  </si>
  <si>
    <t>mA/V</t>
  </si>
  <si>
    <t>AN2867 Rev 24, §3.4, p. 13</t>
  </si>
  <si>
    <t>Gm_crit_max del STM32H743</t>
  </si>
  <si>
    <t>DS12110 Rev 11, Tabla 34, p. 125</t>
  </si>
  <si>
    <t>Relación Gm_crit_max / gmcrit</t>
  </si>
  <si>
    <t>Debe ser &gt; 1 (AN2867)</t>
  </si>
  <si>
    <t>¿Arranque garantizado?</t>
  </si>
  <si>
    <t>gmcrit con el ABM8 anterior (CL 18 pF, ESR 50 Ω, C0 7 pF)</t>
  </si>
  <si>
    <t>ABM8 (rev. 08.19.15): supera 1,5 mA/V → se descarta (C-09)</t>
  </si>
  <si>
    <t>Pull-up interno RPU mínimo</t>
  </si>
  <si>
    <t>kΩ</t>
  </si>
  <si>
    <t>DS12110 Rev 11, Tabla 55 (p. 144): RPU 30–50 kΩ</t>
  </si>
  <si>
    <t>Condensador externo</t>
  </si>
  <si>
    <t>DS12110 Fig. 23 (p. 144): 0,1 µF recomendado</t>
  </si>
  <si>
    <t>Constante de tiempo mínima τ = RPU·C</t>
  </si>
  <si>
    <t>Filtra pulsos de ruido; la EPS (OBC_RST_N) y el umbilical lo bajan con colector abierto</t>
  </si>
  <si>
    <t>Consumo de un ADC (16 bits, 25 MHz, single-ended)</t>
  </si>
  <si>
    <t>DS12110 Rev 11, Tabla 174 (p. 275): IDDA_SE 720 µA</t>
  </si>
  <si>
    <t>ADC en uso</t>
  </si>
  <si>
    <t>ADC1 y ADC3 (Perifericos_MCU)</t>
  </si>
  <si>
    <t>DCR de la ferrita BLM15AG601SN1D</t>
  </si>
  <si>
    <t>Murata BLM15AG601SN1D: 0,52 Ω, 300 mA. AN4938 §2.2: «VDDA can be connected to VDD through a ferrite bead»</t>
  </si>
  <si>
    <t>Caída DC en la ferrita</t>
  </si>
  <si>
    <t>Despreciable frente a 3,3 V</t>
  </si>
  <si>
    <t>Uso de la corriente nominal de la ferrita</t>
  </si>
  <si>
    <t>&lt;1 % de 300 mA</t>
  </si>
  <si>
    <t>AN4938 Rev 7 §2.2: «VREF+ can be connected to VDDA through a resistor (typically 47 Ω)», con 100 nF + 1 µF en el pin</t>
  </si>
  <si>
    <t>µF</t>
  </si>
  <si>
    <t>Filtra el ruido digital del riel; la tensión DC la corrige el firmware con VREFINT</t>
  </si>
  <si>
    <t>Impedancia objetivo de la pista</t>
  </si>
  <si>
    <t>PCB-10 / hoja Calculos (Z0 microstrip)</t>
  </si>
  <si>
    <t>Impedancia de salida estimada del pin</t>
  </si>
  <si>
    <t>Inferencia: pin GPIO en velocidad alta (no tabulada en DS12110)</t>
  </si>
  <si>
    <t>R serie de terminación = Z0 − Rsalida</t>
  </si>
  <si>
    <t>Se normaliza a 22 Ω (E12); terminación en fuente, junto al MCU</t>
  </si>
  <si>
    <t>Pull-ups 10 kΩ</t>
  </si>
  <si>
    <t>Corriente con la línea en 0</t>
  </si>
  <si>
    <t>EMMC_CMD, EMMC_D0–D3 (Tabla 8.3 de la eMMC: 4,7–50 kΩ CMD, 10–50 kΩ DAT), IMU_CS_N, QSPI_NCS, RTC_INT, BOOT0</t>
  </si>
  <si>
    <t>Potencia en la resistencia</t>
  </si>
  <si>
    <t>Frente a 62,5 mW nominales (0402)</t>
  </si>
  <si>
    <t>Pull-downs 100 kΩ</t>
  </si>
  <si>
    <t>Corriente con la salida en 1</t>
  </si>
  <si>
    <t>µA</t>
  </si>
  <si>
    <t>MTQ_nSLEEP, UHF_EN, S_EN, CAM_RST_N: mantienen apagado/en reset mientras el MCU arranca (GPIO en alta impedancia)</t>
  </si>
  <si>
    <t>Shunt MTQ</t>
  </si>
  <si>
    <t>Potencia nominal RL0603</t>
  </si>
  <si>
    <t>YAGEO RL0603FR-070R47L</t>
  </si>
  <si>
    <t>Uso de la potencia nominal</t>
  </si>
  <si>
    <t>6,8 mW calculados arriba (fila 47)</t>
  </si>
  <si>
    <t>Condensadores</t>
  </si>
  <si>
    <t>Tensión de trabajo máx. 3V3 / nominal 16 V</t>
  </si>
  <si>
    <t>Regla adoptada: tensión nominal ≥2× la de trabajo (pérdida por polarización DC en X7R)</t>
  </si>
  <si>
    <t>Tensión de trabajo 5 V / nominal 16 V (10 µF de 5V_SW_ADCS y 100 nF de VM)</t>
  </si>
  <si>
    <t>Cumple 2×; el 10 µF de 25 V X7R 0805 no tiene stock (52 semanas): se usa el de 16 V</t>
  </si>
  <si>
    <t>VCAP (núcleo ~1,2 V) / nominal 10 V</t>
  </si>
  <si>
    <t>AN4938 §2.2: 2,2 µF cerámico, ESR &lt;100 mΩ</t>
  </si>
  <si>
    <t>Dieléctrico</t>
  </si>
  <si>
    <t>X7R / C0G</t>
  </si>
  <si>
    <t>X7R: −55…125 °C (X5R solo hasta 85 °C, límite del rango −40…85 °C de la tarjeta). C0G en los 6,8 pF del cristal por estabilidad (AN2867)</t>
  </si>
  <si>
    <t>Trazabilidad</t>
  </si>
  <si>
    <t>Restricción y alcance</t>
  </si>
  <si>
    <t>Tipo de fuente</t>
  </si>
  <si>
    <t>Fuente y fundamento</t>
  </si>
  <si>
    <t>Aplicación (dónde queda registrada)</t>
  </si>
  <si>
    <t>Verificación / estado</t>
  </si>
  <si>
    <t>ET-21, IF03</t>
  </si>
  <si>
    <t>3V3_SW_OBC: hasta 0,48 A (P2) + 0,24 A de paso a P4 = 0,72 A. Distribución por plano en L3; tramos en trazo ≥0,5 mm (IPC-2221 pide 0,49 mm en capa interna y 0,19 mm en externa con ΔT = 10 °C); caída total ≤30 mV (1 %).</t>
  </si>
  <si>
    <t>Inferencia propia</t>
  </si>
  <si>
    <t>Cálculo IPC-2221 + resistencia del cobre (hoja Calculos, filas Ancho/caída).</t>
  </si>
  <si>
    <t>Directiva: clase PWR_3V3 + regla Width (mín 0,5 / pref 1,0 mm).</t>
  </si>
  <si>
    <t>Revisión de reglas en PCB (guía siguiente). Estado: directiva definida.</t>
  </si>
  <si>
    <t>PCB-02</t>
  </si>
  <si>
    <t>IF03, IF08, IF09</t>
  </si>
  <si>
    <t>5V_SW_ADCS: 0,52 A pico (MTQ 0,29 A + ruedas 0,23 A). Trazo ≥0,5 mm o polígono; caída ≤50 mV.</t>
  </si>
  <si>
    <t>Cálculo IPC-2221; Tablas 5-3/5-4 de P3 para las cargas.</t>
  </si>
  <si>
    <t>Directiva: clase PWR_5V + regla Width.</t>
  </si>
  <si>
    <t>Estado: directiva definida.</t>
  </si>
  <si>
    <t>PCB-03</t>
  </si>
  <si>
    <t>RA-05, ET-28</t>
  </si>
  <si>
    <t>GND: plano continuo en L2 sin cortes bajo SDRAM, DCMI, SDMMC, QSPI ni HSE.</t>
  </si>
  <si>
    <t>Recomendación adoptada</t>
  </si>
  <si>
    <t>AN4938 (diseño de hardware STM32H7); ECSS-E-ST-20-07C.</t>
  </si>
  <si>
    <t>Nota en esquemático (hoja TOP) + regla de plano en PCB.</t>
  </si>
  <si>
    <t>Pendiente: inspección visual del plano en PCB.</t>
  </si>
  <si>
    <t>PCB-04</t>
  </si>
  <si>
    <t>ET-10</t>
  </si>
  <si>
    <t>Desacoplamiento VDD: 100 nF por pin VDD a ≤2 mm del pin y 4,7 µF de bulto en el paquete; vía a GND junto al pad.</t>
  </si>
  <si>
    <t>Exigida por fuente (valores); distancia = recomendación</t>
  </si>
  <si>
    <t>AN4938 (tabla de alimentación STM32H7).</t>
  </si>
  <si>
    <t>Nota junto a cada grupo de condensadores (MCU_CORE).</t>
  </si>
  <si>
    <t>Pendiente: revisión de ubicación.</t>
  </si>
  <si>
    <t>PCB-05</t>
  </si>
  <si>
    <t>VCAP1 (pin 81) y VCAP2 (pin 125) unidos entre sí (red VCAP), cada uno con 2,2 µF cerámico ESR &lt;100 mΩ junto a su pin (el LQFP176 no tiene VCAP3).</t>
  </si>
  <si>
    <t>Exigida por fuente</t>
  </si>
  <si>
    <t>AN4938 Rev 7, §2.2, p. 12: «Connect VCAP1 pin to VCAP2 pin»; DS12110 Rev 11.</t>
  </si>
  <si>
    <t>Nota en MCU_CORE + clase VCAP (Width ≥0,3 mm).</t>
  </si>
  <si>
    <t>Estado: definido.</t>
  </si>
  <si>
    <t>PCB-06</t>
  </si>
  <si>
    <t>VDDA: ferrita desde VDD + 1 µF + 100 nF; VREF+: 47 Ω desde VDDA + 1 µF + 100 nF, junto a los pines.</t>
  </si>
  <si>
    <t>AN4938.</t>
  </si>
  <si>
    <t>Nota en MCU_CORE.</t>
  </si>
  <si>
    <t>PCB-07</t>
  </si>
  <si>
    <t>HSE 25 MHz (ECS-250-8-33-JGN-TR, CL 8 pF): Y1 y C de 6,8 pF a ≤5 mm de OSC_IN/OSC_OUT; anillo de GND; sin señales bajo el cristal en L1/L2.</t>
  </si>
  <si>
    <t>AN2867 Rev 24 (§3.4 y recomendaciones de PCB); gmcrit 0,67 mA/V &lt; 1,5 mA/V (DS12110 Tabla 34).</t>
  </si>
  <si>
    <t>Nota + Room/Keepout en PCB.</t>
  </si>
  <si>
    <t>Pendiente en PCB.</t>
  </si>
  <si>
    <t>PCB-08</t>
  </si>
  <si>
    <t>Bus SDRAM: impedancia objetivo 50 Ω ±10 % sobre GND (L1/L4 con referencia L2/L3).</t>
  </si>
  <si>
    <t>Ancho preliminar 0,35 mm en L1 sobre prepreg 0,21 mm (εr 4,4), fórmula IPC-2141; confirmar con calculadora del fabricante.</t>
  </si>
  <si>
    <t>Directiva: clase SDRAM + regla Width (0,35 mm) / Impedance si la versión lo admite.</t>
  </si>
  <si>
    <t>Pendiente: apilamiento definitivo (guía siguiente).</t>
  </si>
  <si>
    <t>PCB-09</t>
  </si>
  <si>
    <t>Bus SDRAM: diferencia de longitud dentro de cada grupo (datos, dirección/control) respecto a SDCLK ≤10 mm.</t>
  </si>
  <si>
    <t>10 mm ≈ 66 ps = 0,7 % del periodo de 10 ns a 100 MHz (hoja Calculos).</t>
  </si>
  <si>
    <t>Directiva: regla Matched Lengths (tolerancia 10 mm) en clase SDRAM.</t>
  </si>
  <si>
    <t>PCB-10</t>
  </si>
  <si>
    <t>U2 a ≤30 mm de U1; sin vías innecesarias (≤2 por red).</t>
  </si>
  <si>
    <t>Retardo total &lt;0,3 ns frente a margen de temporización a 100 MHz.</t>
  </si>
  <si>
    <t>Nota + Room SDRAM en PCB.</t>
  </si>
  <si>
    <t>PCB-11</t>
  </si>
  <si>
    <t>IF07, ET-07</t>
  </si>
  <si>
    <t>DCMI: J3 junto al MCU; recorrido en P2 ≤50 mm; diferencia de longitud datos–PIXCLK ≤10 mm; resistencia serie 33 Ω en origen (P4).</t>
  </si>
  <si>
    <t>Periodo 20,8 ns a 48 MHz; FFC ≤80 mm (IF07).</t>
  </si>
  <si>
    <t>Directiva: clase DCMI + Matched Lengths.</t>
  </si>
  <si>
    <t>PCB-12</t>
  </si>
  <si>
    <t>ET-08</t>
  </si>
  <si>
    <t>SDMMC1: resistencia serie 22 Ω en CK junto al MCU; pull-up de 10 kΩ en CMD y D0–D3; diferencia de longitud ≤5 mm.</t>
  </si>
  <si>
    <t>Exigida por fuente (rango de pull-up); valor adoptado</t>
  </si>
  <si>
    <t>IS21/22EF04GP Rev. A2, Tabla 8.3 (p. 41): RCMD 4,7–50 kΩ, RDAT 10–50 kΩ, carga de bus &lt;20 pF; 22 Ω serie: práctica común.</t>
  </si>
  <si>
    <t>Directiva: clase SDMMC + Matched Lengths (5 mm).</t>
  </si>
  <si>
    <t>Estado: definido (pull-ups de 10 kΩ dentro del rango).</t>
  </si>
  <si>
    <t>PCB-13</t>
  </si>
  <si>
    <t>ET-11</t>
  </si>
  <si>
    <t>QSPI: U4 a ≤30 mm; resistencia serie 22 Ω en CLK.</t>
  </si>
  <si>
    <t>Reflexiones a ≤80 MHz.</t>
  </si>
  <si>
    <t>Directiva: clase QSPI.</t>
  </si>
  <si>
    <t>PCB-14</t>
  </si>
  <si>
    <t>eMMC 100-LFBGA 14×18 mm (IS21EF04GP-JQLI): pads, paso y escape según el dibujo del paquete (hoja ISSI Rev. A2 §9.1, p. 51) y la huella del modelo de Altium; si el paso es ≤0,8 mm, vía en pad rellena y tapada; acabado ENIG.</t>
  </si>
  <si>
    <t>Exigida por fuente (fabricante)</t>
  </si>
  <si>
    <t>Hoja ISSI IS21/22EF04GP Rev. A2 §9.1 (paquete de 100 bolas); JLCPCB: pad BGA 0,2–0,25 mm requiere ENIG.</t>
  </si>
  <si>
    <t>Regla pendiente en PCB (Fanout Control, Width local 0,09 mm) + condición de pedido.</t>
  </si>
  <si>
    <t>Servicio especial: ENIG + via-in-pad.</t>
  </si>
  <si>
    <t>PCB-15</t>
  </si>
  <si>
    <t>LQFP176 paso 0,5 mm: separación pad-pad ≥0,15 mm y puente de máscara ≥0,10 mm.</t>
  </si>
  <si>
    <t>JLCPCB: SMD pad-pad 0,15 mm; puente 0,10 mm (verde).</t>
  </si>
  <si>
    <t>Regla pendiente (Clearance SMD).</t>
  </si>
  <si>
    <t>Compatible.</t>
  </si>
  <si>
    <t>Magnetómetro U6 a ≥50 mm de los DRV8837, shunts y recorridos de 5V_SW_ADCS; sin piezas ferromagnéticas a ≤10 mm.</t>
  </si>
  <si>
    <t>B = µ0·I/(2πr): 0,12 A a 50 mm → 0,48 µT (1,6 % de 30 µT) (hoja Calculos).</t>
  </si>
  <si>
    <t>Nota en ADCS_SENS + Room en PCB.</t>
  </si>
  <si>
    <t>PCB-17</t>
  </si>
  <si>
    <t>Bobinas MTQ: ida y retorno de cada bobina en pistas adyacentes (lazo mínimo), ancho ≥0,25 mm.</t>
  </si>
  <si>
    <t>0,12 A; un lazo grande crea momento magnético parásito.</t>
  </si>
  <si>
    <t>Directiva: clase MTQ + Width.</t>
  </si>
  <si>
    <t>PCB-18</t>
  </si>
  <si>
    <t>Entradas solares: RC (1 kΩ/100 nF) junto al pin ADC; pistas lejos (≥3× ancho) de SDCLK, PIXCLK, QSPI CLK y de los puentes H.</t>
  </si>
  <si>
    <t>fc = 1,59 kHz frente a muestreo de 10 Hz.</t>
  </si>
  <si>
    <t>Directiva: clase SUN_AN + Clearance 0,3 mm.</t>
  </si>
  <si>
    <t>PCB-19</t>
  </si>
  <si>
    <t>DRV8837: pad térmico soldado a GND con vías.</t>
  </si>
  <si>
    <t>Hoja de datos TI DRV8837 (layout).</t>
  </si>
  <si>
    <t>Nota en MTQ_DRV.</t>
  </si>
  <si>
    <t>PCB-20</t>
  </si>
  <si>
    <t>IF03–IF06, TBD-01</t>
  </si>
  <si>
    <t>J1/J2 en la posición PC/104 de la estructura elegida; misma asignación en todas las tarjetas.</t>
  </si>
  <si>
    <t>Plano de interfaz de la estructura (a obtener del proveedor).</t>
  </si>
  <si>
    <t>Nota en TOP.</t>
  </si>
  <si>
    <t>Pendiente: plano de la estructura.</t>
  </si>
  <si>
    <t>PCB-21</t>
  </si>
  <si>
    <t>Cada riel por ≥2 contactos del bus; GND en ≥8 contactos.</t>
  </si>
  <si>
    <t>5,7 A/contacto (dato distribuidor) frente a ≤0,72 A; redundancia.</t>
  </si>
  <si>
    <t>Asignación de pines (Tabla de conectores).</t>
  </si>
  <si>
    <t>Cumple.</t>
  </si>
  <si>
    <t>PCB-22</t>
  </si>
  <si>
    <t>J3: 3 contactos para 3V3_SW_CAM (0,24 A) y 15 tierras intercaladas; FFC ≤80 mm.</t>
  </si>
  <si>
    <t>Exigida por fuente (0,5 A/contacto) + inferencia</t>
  </si>
  <si>
    <t>Farnell/Hirose FH12; IF07.</t>
  </si>
  <si>
    <t>Asignación de pines J3.</t>
  </si>
  <si>
    <t>PCB-23</t>
  </si>
  <si>
    <t>R-01</t>
  </si>
  <si>
    <t>Altura máxima de componentes y separación entre tarjetas según el conector ESQ-126-39 y la estructura; P3 asignó 12 mm a P2.</t>
  </si>
  <si>
    <t>Hoja de datos Samtec ESQ (altura de apilado del sufijo -39).</t>
  </si>
  <si>
    <t>Pendiente: verificar compatibilidad con 12 mm (riesgo R-01).</t>
  </si>
  <si>
    <t>PCB-24</t>
  </si>
  <si>
    <t>RA-02</t>
  </si>
  <si>
    <t>MCU (≤0,73 W) sin convección: polígonos GND en L1/L4 conectados por vías al plano y a los agujeros de montaje.</t>
  </si>
  <si>
    <t>Conducción a la estructura como única vía térmica (P3, RA-02).</t>
  </si>
  <si>
    <t>Nota + regla de polígonos en PCB.</t>
  </si>
  <si>
    <t>PCB-25</t>
  </si>
  <si>
    <t>Fabricación</t>
  </si>
  <si>
    <t>Pista/espacio general ≥0,10/0,10 mm; 0,09 mm solo en escape BGA.</t>
  </si>
  <si>
    <t>Exigida por fuente (fabricante) + margen adoptado</t>
  </si>
  <si>
    <t>JLCPCB multicapa 1 oz: 0,09/0,09 mm mín.</t>
  </si>
  <si>
    <t>Regla Width/Clearance por defecto.</t>
  </si>
  <si>
    <t>PCB-26</t>
  </si>
  <si>
    <t>Vía estándar 0,30/0,50 mm (taladro/pad); vía de escape BGA 0,20/0,40 mm.</t>
  </si>
  <si>
    <t>JLCPCB: taladro preferido ≥0,2 mm; pad ≥ taladro + 0,1 mm.</t>
  </si>
  <si>
    <t>Regla Routing Via Style.</t>
  </si>
  <si>
    <t>Compatible (0,2 mm con diámetro &lt;0,45 mm tiene costo extra).</t>
  </si>
  <si>
    <t>PCB-27</t>
  </si>
  <si>
    <t>Anillo anular PTH ≥0,20 mm; cobre a borde ruteado ≥0,5 mm (fabricante pide ≥0,2 mm).</t>
  </si>
  <si>
    <t>Exigida por fuente + margen adoptado</t>
  </si>
  <si>
    <t>JLCPCB: anillo PTH multicapa rec. 0,20 mm; borde ≥0,2 mm.</t>
  </si>
  <si>
    <t>Reglas en PCB.</t>
  </si>
  <si>
    <t>PCB-28</t>
  </si>
  <si>
    <t>Serigrafía ≥1,0 mm de alto y 0,15 mm de trazo; ≥0,15 mm a pads.</t>
  </si>
  <si>
    <t>JLCPCB (legend).</t>
  </si>
  <si>
    <t>Regla Silk to Solder Mask.</t>
  </si>
  <si>
    <t>PCB-29</t>
  </si>
  <si>
    <t>Apilamiento 4 capas, 1,6 mm, cobre externo 1 oz, interno 1 oz, FR-4, ENIG; impedancia controlada con la pila estándar del fabricante.</t>
  </si>
  <si>
    <t>Exigida por fuente + decisión</t>
  </si>
  <si>
    <t>JLCPCB: 4 capas, 1,6 mm, interno 0,5 oz por defecto (1 oz opcional), ENIG, impedancia ±10 %.</t>
  </si>
  <si>
    <t>Condición de pedido / Layer Stack Manager (guía siguiente).</t>
  </si>
  <si>
    <t>Pendiente: definir pila exacta.</t>
  </si>
  <si>
    <t>PCB-30</t>
  </si>
  <si>
    <t>Puntos de prueba (pad ≥1,0 mm) en 3V3_SW_OBC, 5V_SW_ADCS, 3V3_SW_CAM, GND×2, NRST, OBC_HB, I2C1, UART5; J9 accesible desde el borde.</t>
  </si>
  <si>
    <t>Prueba de la tarjeta aislada (RNF-15).</t>
  </si>
  <si>
    <t>Componentes TP en el esquemático.</t>
  </si>
  <si>
    <t>Valor adoptado / capacidad</t>
  </si>
  <si>
    <t>Observación</t>
  </si>
  <si>
    <t>Proveedor</t>
  </si>
  <si>
    <t>JLCPCB – Rigid PCB capabilities</t>
  </si>
  <si>
    <t>https://jlcpcb.com/capabilities/Capabilities</t>
  </si>
  <si>
    <t>Fecha de consulta</t>
  </si>
  <si>
    <t>2026-10-07</t>
  </si>
  <si>
    <t>Capas</t>
  </si>
  <si>
    <t>4 (señal / GND / 3V3 / señal)</t>
  </si>
  <si>
    <t>Disponible 1–32</t>
  </si>
  <si>
    <t>Material</t>
  </si>
  <si>
    <t>FR-4</t>
  </si>
  <si>
    <t>Laminados grado A (Nan Ya, KB, Shengyi)</t>
  </si>
  <si>
    <t>Espesor</t>
  </si>
  <si>
    <t>1,6 mm ±10 %</t>
  </si>
  <si>
    <t>0,4–2,0 mm estándar</t>
  </si>
  <si>
    <t>Cobre</t>
  </si>
  <si>
    <t>Externo 1 oz; interno 1 oz</t>
  </si>
  <si>
    <t>Interno 0,5 oz por defecto, 1 oz opcional</t>
  </si>
  <si>
    <t>Acabado</t>
  </si>
  <si>
    <t>ENIG</t>
  </si>
  <si>
    <t>Requerido para pads BGA 0,2–0,25 mm</t>
  </si>
  <si>
    <t>Controlada ±10 % con pila estándar del fabricante</t>
  </si>
  <si>
    <t>Calculadora JLCPCB</t>
  </si>
  <si>
    <t>Pista/espacio mín.</t>
  </si>
  <si>
    <t>0,09/0,09 mm (multicapa, 1 oz); 3 mil en fanout BGA</t>
  </si>
  <si>
    <t>Se adopta 0,10/0,10 general</t>
  </si>
  <si>
    <t>Vía mín.</t>
  </si>
  <si>
    <t>0,15/0,25 mm (taladro/diámetro); preferido taladro ≥0,2 mm</t>
  </si>
  <si>
    <t>Se adopta 0,30/0,50 general y 0,20/0,40 en BGA</t>
  </si>
  <si>
    <t>Anillo PTH</t>
  </si>
  <si>
    <t>Rec. 0,20 mm, mín. 0,15 mm (multicapa 1 oz)</t>
  </si>
  <si>
    <t>Pad-pista / pad-pad SMD</t>
  </si>
  <si>
    <t>0,10 mm / 0,15 mm</t>
  </si>
  <si>
    <t>Puente de máscara</t>
  </si>
  <si>
    <t>0,10 mm (verde)</t>
  </si>
  <si>
    <t>LQFP 0,5 mm compatible</t>
  </si>
  <si>
    <t>Vía en pad</t>
  </si>
  <si>
    <t>Rellena con epoxi y tapada (0,15–0,55 mm)</t>
  </si>
  <si>
    <t>Servicio especial para eMMC</t>
  </si>
  <si>
    <t>Cobre a borde</t>
  </si>
  <si>
    <t>≥0,2 mm ruteado</t>
  </si>
  <si>
    <t>Se adopta 0,5 mm</t>
  </si>
  <si>
    <t>Serigrafía</t>
  </si>
  <si>
    <t>Alto ≥1,0 mm, trazo ≥0,15 mm, ≥0,15 mm a pads</t>
  </si>
  <si>
    <t>Tolerancia de agujero</t>
  </si>
  <si>
    <t>+0,13/−0,08 mm (PTH)</t>
  </si>
  <si>
    <t>Servicios especiales</t>
  </si>
  <si>
    <t>ENIG + vía en pad rellena y tapada + vía 0,2 mm con diámetro &lt;0,45 mm (costo extra)</t>
  </si>
  <si>
    <t>Clase / directiva</t>
  </si>
  <si>
    <t>Redes</t>
  </si>
  <si>
    <t>Regla o mecanismo</t>
  </si>
  <si>
    <t>Restricciones</t>
  </si>
  <si>
    <t>PWR_3V3</t>
  </si>
  <si>
    <t>3V3_SW_OBC, 3V3_SW_CAM, VDDA</t>
  </si>
  <si>
    <t>Net Class + Width (mín 0,5 mm, pref 1,0)</t>
  </si>
  <si>
    <t>PWR_5V</t>
  </si>
  <si>
    <t>5V_SW_ADCS (incluye VM de los DRV8837)</t>
  </si>
  <si>
    <t>Net Class + Width (mín 0,5 mm)</t>
  </si>
  <si>
    <t>SDRAM_D[0..15], SDRAM_A[0..12], SDRAM_BA0/1, SDRAM_NBL0/1, SDRAM_SDCLK, SDRAM_SDNRAS, SDRAM_SDNCAS, SDRAM_SDNWE, SDRAM_SDNE0, SDRAM_SDCKE0</t>
  </si>
  <si>
    <t>Net Class + Width 0,35 mm + Matched Lengths 10 mm</t>
  </si>
  <si>
    <t>PCB-08, PCB-09</t>
  </si>
  <si>
    <t>DCMI_D[0..11], DCMI_PIXCLK, DCMI_HSYNC, DCMI_VSYNC</t>
  </si>
  <si>
    <t>Net Class + Matched Lengths 10 mm</t>
  </si>
  <si>
    <t>SDMMC</t>
  </si>
  <si>
    <t>EMMC_CK, EMMC_CMD, EMMC_D[0..3]</t>
  </si>
  <si>
    <t>Net Class + Matched Lengths 5 mm</t>
  </si>
  <si>
    <t>QSPI</t>
  </si>
  <si>
    <t>QSPI_CLK, QSPI_NCS, QSPI_IO[0..3]</t>
  </si>
  <si>
    <t>Net Class</t>
  </si>
  <si>
    <t>MTQ</t>
  </si>
  <si>
    <t>MTQ_COILA[1..3], MTQ_COILB[1..3]</t>
  </si>
  <si>
    <t>Net Class + Width 0,25 mm</t>
  </si>
  <si>
    <t>SUN_AN</t>
  </si>
  <si>
    <t>SUNA[1..4], SUNB[1..4], SUNC[1..4], SUND[1..4]</t>
  </si>
  <si>
    <t>Net Class + Clearance 0,3 mm</t>
  </si>
  <si>
    <t>Net Class + Width 0,3 mm</t>
  </si>
  <si>
    <t>Notas</t>
  </si>
  <si>
    <t>Notas de esquemático: PCB-03, 04, 06, 07, 10, 16, 19, 20, 23, 24</t>
  </si>
  <si>
    <t>Pendientes en PCB</t>
  </si>
  <si>
    <t>PCB-14 (fanout BGA), 15, 25–29 (reglas del fabricante y pila)</t>
  </si>
  <si>
    <t>Verificación de ciclo de vida de la BOM (2026-10-25). Regla: solo componentes activos (no NRND, no obsoletos, no LTB).</t>
  </si>
  <si>
    <t>Ref.</t>
  </si>
  <si>
    <t>Referencia</t>
  </si>
  <si>
    <t>Estado</t>
  </si>
  <si>
    <t>Fuente y fecha</t>
  </si>
  <si>
    <t>Disponibilidad / nota</t>
  </si>
  <si>
    <t>U1</t>
  </si>
  <si>
    <t>STM32H743IIT6</t>
  </si>
  <si>
    <t>Activo</t>
  </si>
  <si>
    <t>st.com, página STM32H743II (2026-10-25): «Active, in volume production», longevidad 10 años desde 2026-01-01 (hasta 01/2036)</t>
  </si>
  <si>
    <t>DigiKey, Future, RS</t>
  </si>
  <si>
    <t>U2</t>
  </si>
  <si>
    <t>IS42S16160L-6TLI</t>
  </si>
  <si>
    <t>DigiKey 706-IS42S16160L-6TLI (2026-10-25): Product status Active</t>
  </si>
  <si>
    <t>33 u en DigiKey; reservar con anticipación para el lote de 1000</t>
  </si>
  <si>
    <t>U3</t>
  </si>
  <si>
    <t>IS21EF04GP-JQLI (reemplaza ASFC4G31MA-51BIN)</t>
  </si>
  <si>
    <t>Suntsu (Active, 312 u, 2026-10-26); misma familia que IS21EF04GP-JCLI (Arrow: Active). El ASFC4G31MA-51BIN es Obsoleto en Octopart (LTB 2026-06-30)</t>
  </si>
  <si>
    <t>Plazo de fábrica 52 semanas; precio por RFQ (C-10)</t>
  </si>
  <si>
    <t>U4</t>
  </si>
  <si>
    <t>W25Q128JVSIQ</t>
  </si>
  <si>
    <t>DigiKey W25Q128JVSIQ-ND (2026-10-25): Active</t>
  </si>
  <si>
    <t>27.875 u en DigiKey</t>
  </si>
  <si>
    <t>U5</t>
  </si>
  <si>
    <t>ISM330DHCXTR</t>
  </si>
  <si>
    <t>st.com (2026-10-25): Active; longevidad 10 años desde 2023-01-01 (hasta 01/2033)</t>
  </si>
  <si>
    <t>U6</t>
  </si>
  <si>
    <t>LIS2MDLTR</t>
  </si>
  <si>
    <t>st.com (2026-10-25): Active, in volume production</t>
  </si>
  <si>
    <t>U7</t>
  </si>
  <si>
    <t>RV-3032-C7-32.768KHZ-2.5PPM-TA-QC</t>
  </si>
  <si>
    <t>Dasenic (variante TA-QA, misma familia): Active, 11.467 u; JLCPCB C5127802 listado</t>
  </si>
  <si>
    <t>U8–U10</t>
  </si>
  <si>
    <t>DRV8837DSGR</t>
  </si>
  <si>
    <t>Digipart (2026-10-25): Part Status Active (TI)</t>
  </si>
  <si>
    <t>Newark 1.381 u</t>
  </si>
  <si>
    <t>U11–U13</t>
  </si>
  <si>
    <t>INA180A2IDBVR</t>
  </si>
  <si>
    <t>ti.com, part details (2026-10-25): ACTIVE</t>
  </si>
  <si>
    <t>Y1</t>
  </si>
  <si>
    <t>ECS-250-8-33-JGN-TR</t>
  </si>
  <si>
    <t>Future Electronics (2026-10-25): Active; Mouser stock 3.669</t>
  </si>
  <si>
    <t>J1, J2</t>
  </si>
  <si>
    <t>ESQ-126-39-G-D</t>
  </si>
  <si>
    <t>Activo (pedido a fábrica)</t>
  </si>
  <si>
    <t>Farnell 3550766: «Available to order», plazo de fábrica 6 semanas; DigiKey 616 u, Arrow 250 u (Mymectronic)</t>
  </si>
  <si>
    <t>La ficha de Master Electronics muestra a la vez todos los mensajes de estado (plantilla), con stock y plazo de fábrica de 2 semanas: no indica fin de vida</t>
  </si>
  <si>
    <t>J3</t>
  </si>
  <si>
    <t>FH12-40S-0.5SH(55)</t>
  </si>
  <si>
    <t>Hirose, inventario global (2026-10-25): DigiKey 18.576, Mouser 25.836, Future 22.000 u; Farnell orderable</t>
  </si>
  <si>
    <t>J4–J8</t>
  </si>
  <si>
    <t>SM08B-GHS-TB(LF)(SN)</t>
  </si>
  <si>
    <t>Future Electronics (2026-10-25): Active</t>
  </si>
  <si>
    <t>J9</t>
  </si>
  <si>
    <t>FTSH-105-01-L-DV-K</t>
  </si>
  <si>
    <t>LCSC C448647 (variante -TR): 1.016 u en stock, 2026-10-26</t>
  </si>
  <si>
    <t>Si se requiere carrete: FTSH-105-01-F-DV-TR (mismo plano)</t>
  </si>
  <si>
    <t xml:space="preserve">MCU_CORE C1, C2, C3, C4, C5, C6, C7, C8, C9, C10, C11, C12, </t>
  </si>
  <si>
    <t>CL05B104KO5NNNC (Samsung Electro-Mechanics)</t>
  </si>
  <si>
    <t>Activo / en stock</t>
  </si>
  <si>
    <t>LCSC C1525: Activo: LCSC 5.372.800 u</t>
  </si>
  <si>
    <t>MCU_CORE C24, C25</t>
  </si>
  <si>
    <t>GJM1555C1H6R8CB01D (Murata)</t>
  </si>
  <si>
    <t>LCSC C88897: En stock: LCSC 3.150 u</t>
  </si>
  <si>
    <t>ADCS_SENS C5</t>
  </si>
  <si>
    <t>CL05B224KO5NNNC (Samsung Electro-Mechanics)</t>
  </si>
  <si>
    <t>LCSC C16772: En stock: LCSC ≈834.000 u</t>
  </si>
  <si>
    <t>MCU_CORE C19, C21; MEMORY C10</t>
  </si>
  <si>
    <t>CL10B105KO8NNNC (Samsung Electro-Mechanics)</t>
  </si>
  <si>
    <t>LCSC C59782: En stock: LCSC 149.850 u</t>
  </si>
  <si>
    <t>MCU_CORE C17, C18</t>
  </si>
  <si>
    <t>CL10B225KP8NNNC (Samsung Electro-Mechanics)</t>
  </si>
  <si>
    <t>Future Electronics (cinta cortada / carrete 4000), 2026-10-26: Activo (Future): 22.978 u en cinta, 528.000 en carrete</t>
  </si>
  <si>
    <t>MCU_CORE C15</t>
  </si>
  <si>
    <t>CL21B475KOFNNNE (Samsung Electro-Mechanics)</t>
  </si>
  <si>
    <t>Future Electronics (carrete 2000), 2026-10-26: Activo (Future): 440.000 u</t>
  </si>
  <si>
    <t>PWR_IN C1, C2, C3</t>
  </si>
  <si>
    <t>CL21B106KOQNNNE (Samsung Electro-Mechanics)</t>
  </si>
  <si>
    <t>LCSC C95841: En stock: LCSC 37.300 u</t>
  </si>
  <si>
    <t>MEMORY R1</t>
  </si>
  <si>
    <t>RC0402FR-0722RL (YAGEO)</t>
  </si>
  <si>
    <t>LCSC C114765: En stock: LCSC 2.286.800 u</t>
  </si>
  <si>
    <t>MCU_CORE R1</t>
  </si>
  <si>
    <t>RC0402FR-0747RL (YAGEO)</t>
  </si>
  <si>
    <t>LCSC C137973: Listado en LCSC (C137973)</t>
  </si>
  <si>
    <t>PANEL_CH R1×4, R2×4, R3×4, R4×4</t>
  </si>
  <si>
    <t>0402WGF1001TCE (UNI-ROYAL)</t>
  </si>
  <si>
    <t>LCSC C11702: En stock: LCSC 7.159.100 u</t>
  </si>
  <si>
    <t>ADCS_SENS R2, R3</t>
  </si>
  <si>
    <t>RC0402FR-072K2L (YAGEO)</t>
  </si>
  <si>
    <t>LCSC C114762: En stock: LCSC 935.200 u</t>
  </si>
  <si>
    <t>CAM_IF R1, R2; BUS_IF R1, R2</t>
  </si>
  <si>
    <t>RC0402FR-074K7L (YAGEO)</t>
  </si>
  <si>
    <t>LCSC C105871: En stock: LCSC 8.008.500 u</t>
  </si>
  <si>
    <t>MCU_CORE R2; MEMORY R2, R3, R4, R5, R6, R7; ADCS_SENS R1, R4</t>
  </si>
  <si>
    <t>RC0402FR-0710KL (YAGEO)</t>
  </si>
  <si>
    <t>LCSC C60490: En stock: LCSC 13.500 u</t>
  </si>
  <si>
    <t>MCU_CORE R3; CAM_IF R3; BUS_IF R3, R4</t>
  </si>
  <si>
    <t>RC0402FR-07100KL (YAGEO)</t>
  </si>
  <si>
    <t>LCSC C60491: En stock: LCSC 8.240.100 u</t>
  </si>
  <si>
    <t>MTQ_CH R1×3</t>
  </si>
  <si>
    <t>RL0603FR-070R47L (YAGEO)</t>
  </si>
  <si>
    <t>Activo; sin stock hoy</t>
  </si>
  <si>
    <t>LCSC C326953: Sin stock en LCSC ni RS (RS: reposición 2027-02-09); alternativa con stock: UNI-ROYAL 0603WAF470LT5E</t>
  </si>
  <si>
    <t>Usar la alternativa indicada si no hay reposición antes de comprar</t>
  </si>
  <si>
    <t>MCU_CORE FB1</t>
  </si>
  <si>
    <t>BLM15AG601SN1D (Murata)</t>
  </si>
  <si>
    <t>LCSC C76884: En stock: LCSC 1.353.700 u</t>
  </si>
  <si>
    <t>Designadores</t>
  </si>
  <si>
    <t>Cant/tarjeta</t>
  </si>
  <si>
    <t>Descripción</t>
  </si>
  <si>
    <t>Fabricante</t>
  </si>
  <si>
    <t>MPN</t>
  </si>
  <si>
    <t>Encapsulado</t>
  </si>
  <si>
    <t>Estado de cotización</t>
  </si>
  <si>
    <t>MCU Cortex-M7 2 MB/1 MB</t>
  </si>
  <si>
    <t>STMicroelectronics</t>
  </si>
  <si>
    <t>LQFP-176 24×24</t>
  </si>
  <si>
    <t>DigiKey 497-17722-ND</t>
  </si>
  <si>
    <t>Cotizado (10 u); 100/1000 sin escala publicada → se usa 10 u</t>
  </si>
  <si>
    <t>SDRAM 256 Mb ×16 166 MHz</t>
  </si>
  <si>
    <t>ISSI</t>
  </si>
  <si>
    <t>TSOP-II-54</t>
  </si>
  <si>
    <t>DigiKey 706-IS42S16160L-6TLI-ND</t>
  </si>
  <si>
    <t>Cotizado</t>
  </si>
  <si>
    <t>eMMC 5.1 4 GB pSLC industrial</t>
  </si>
  <si>
    <t>IS21EF04GP-JQLI</t>
  </si>
  <si>
    <t>100-LFBGA 14×18</t>
  </si>
  <si>
    <t>Suntsu / Avnet (RFQ, 2026-10-26)</t>
  </si>
  <si>
    <t>Activo (Suntsu: 312 u, 2026-10-26); precio sin publicar (RFQ): se usa provisionalmente el precio verificado de la eMMC anterior de igual capacidad</t>
  </si>
  <si>
    <t>NOR QSPI 128 Mb</t>
  </si>
  <si>
    <t>Winbond</t>
  </si>
  <si>
    <t>SOIC-8 208 mil</t>
  </si>
  <si>
    <t>DigiKey W25Q128JVSIQ-ND</t>
  </si>
  <si>
    <t>IMU 6 ejes industrial</t>
  </si>
  <si>
    <t>LGA-14 2,5×3</t>
  </si>
  <si>
    <t>DigiKey 497-19784-1-ND</t>
  </si>
  <si>
    <t>Cotizado (1000 u vía zenode/DigiKey)</t>
  </si>
  <si>
    <t>Magnetómetro 3 ejes</t>
  </si>
  <si>
    <t>LGA-12 2×2</t>
  </si>
  <si>
    <t>Newark 07AH6648</t>
  </si>
  <si>
    <t>RTC compensado I2C</t>
  </si>
  <si>
    <t>Micro Crystal</t>
  </si>
  <si>
    <t>SON-8 3,2×1,5</t>
  </si>
  <si>
    <t>DigiKey / JLCPCB C5127802</t>
  </si>
  <si>
    <t>Cotizado (1000 u: JLCPCB)</t>
  </si>
  <si>
    <t>Puente H 1,8 A</t>
  </si>
  <si>
    <t>Texas Instruments</t>
  </si>
  <si>
    <t>WSON-8 2×2</t>
  </si>
  <si>
    <t>Mouser 595-DRV8837DSGR</t>
  </si>
  <si>
    <t>Amplificador de corriente G=50</t>
  </si>
  <si>
    <t>SOT-23-5</t>
  </si>
  <si>
    <t>DigiKey 296-47653-1-ND</t>
  </si>
  <si>
    <t>Cotizado (sin escala 1000 → se usa 100 u)</t>
  </si>
  <si>
    <t>Cristal 25 MHz 8 pF ±20 ppm, −40…85 °C</t>
  </si>
  <si>
    <t>ECS Inc.</t>
  </si>
  <si>
    <t>SMD 3,2×2,5 (4 pads)</t>
  </si>
  <si>
    <t>Mouser (ECS-250-8-33-JGN-TR), 2026-10-25</t>
  </si>
  <si>
    <t>Cotizado; stock 3.669</t>
  </si>
  <si>
    <t>Conector apilado PC/104 2×26</t>
  </si>
  <si>
    <t>Samtec</t>
  </si>
  <si>
    <t>THT 2,54 mm</t>
  </si>
  <si>
    <t>Master Electronics</t>
  </si>
  <si>
    <t>Cotizado (mínimo 5)</t>
  </si>
  <si>
    <t>Conector FFC 40 pos 0,5 mm</t>
  </si>
  <si>
    <t>Hirose</t>
  </si>
  <si>
    <t>SMD R/A</t>
  </si>
  <si>
    <t>Cotizado (EUR)</t>
  </si>
  <si>
    <t>Conector GH 8 pos 1,25 mm</t>
  </si>
  <si>
    <t>JST</t>
  </si>
  <si>
    <t>Cotizado (paquete de 10)</t>
  </si>
  <si>
    <t>Cabecera SWD 10 pos 1,27 mm</t>
  </si>
  <si>
    <t>SMD 2×5, 1,27 mm, polarizado</t>
  </si>
  <si>
    <t>LCSC C448647 (FTSH-105-01-L-DV-K-TR), 2026-10-26</t>
  </si>
  <si>
    <t>Cotizado: 1+ 1,5448 USD; 1100+ 0,9729 USD; stock 1.016</t>
  </si>
  <si>
    <t>MCU_CORE C1, C2, C3, C4, C5, C6, C7, C8, C9, C10, C11, C12, C13, C14, C16, C20, C22, C23; MEMORY C1, C2, C3, C4, C5, C6, C7, C8, C9, C11; ADCS_SENS C1, C2, C3, C4, C6; MTQ_CH C1×3, C2×3, C3×3; PANEL_CH C1×4, C2×4, C3×4, C4×4</t>
  </si>
  <si>
    <t>MLCC 100 nF ±10 % 16 V X7R</t>
  </si>
  <si>
    <t>Samsung Electro-Mechanics</t>
  </si>
  <si>
    <t>CL05B104KO5NNNC</t>
  </si>
  <si>
    <t>0402</t>
  </si>
  <si>
    <t>LCSC C1525</t>
  </si>
  <si>
    <t>Cotizado (escalas publicadas)</t>
  </si>
  <si>
    <t>MLCC 6,8 pF ±0,25 pF 50 V C0G (carga del HSE)</t>
  </si>
  <si>
    <t>Murata</t>
  </si>
  <si>
    <t>GJM1555C1H6R8CB01D</t>
  </si>
  <si>
    <t>LCSC C88897</t>
  </si>
  <si>
    <t>Estimado: solo «desde 0,008 USD» publicado (precio de la escala más alta)</t>
  </si>
  <si>
    <t>MLCC 220 nF ±10 % 16 V X7R (C1 del LIS2MDL)</t>
  </si>
  <si>
    <t>CL05B224KO5NNNC</t>
  </si>
  <si>
    <t>LCSC C16772</t>
  </si>
  <si>
    <t>Estimado: solo «desde 0,0027 USD» publicado</t>
  </si>
  <si>
    <t>MLCC 1 µF ±10 % 16 V X7R (VDDA, VREF+, VDDi)</t>
  </si>
  <si>
    <t>CL10B105KO8NNNC</t>
  </si>
  <si>
    <t>0603</t>
  </si>
  <si>
    <t>LCSC C59782</t>
  </si>
  <si>
    <t>Estimado: solo «desde 0,0097 USD» publicado</t>
  </si>
  <si>
    <t>MLCC 2,2 µF ±10 % 10 V X7R, ESR &lt;0,1 Ω (VCAP)</t>
  </si>
  <si>
    <t>CL10B225KP8NNNC</t>
  </si>
  <si>
    <t>Future Electronics (cinta cortada / carrete 4000), 2026-10-26</t>
  </si>
  <si>
    <t>Cotizado: cinta 0,39 USD; carrete 4000 u 0,093 USD</t>
  </si>
  <si>
    <t>MLCC 4,7 µF ±10 % 16 V X7R (bulk del MCU)</t>
  </si>
  <si>
    <t>CL21B475KOFNNNE</t>
  </si>
  <si>
    <t>0805</t>
  </si>
  <si>
    <t>Future Electronics (carrete 2000), 2026-10-26</t>
  </si>
  <si>
    <t>Estimado: Future solo vende carretes de 2000 u (0,168 USD); se usa el precio del CL21B106KOQNNNE de la misma serie para no cargar 1999 u sobrantes al lote de 10</t>
  </si>
  <si>
    <t>MLCC 10 µF ±10 % 16 V X7R (entrada de rieles 3V3 y 5V)</t>
  </si>
  <si>
    <t>CL21B106KOQNNNE</t>
  </si>
  <si>
    <t>LCSC C95841</t>
  </si>
  <si>
    <t>Estimado: solo «desde 0,0463 USD» publicado</t>
  </si>
  <si>
    <t>Resistencia 22 Ω ±1 % 62,5 mW (serie EMMC_CK)</t>
  </si>
  <si>
    <t>YAGEO</t>
  </si>
  <si>
    <t>RC0402FR-0722RL</t>
  </si>
  <si>
    <t>LCSC C114765</t>
  </si>
  <si>
    <t>Resistencia 47 Ω ±1 % 62,5 mW (filtro VREF+)</t>
  </si>
  <si>
    <t>RC0402FR-0747RL</t>
  </si>
  <si>
    <t>LCSC C137973</t>
  </si>
  <si>
    <t>Estimado: precio del RC0402FR-0722RL (misma serie)</t>
  </si>
  <si>
    <t>Resistencia 1 kΩ ±1 % 62,5 mW (filtro solar)</t>
  </si>
  <si>
    <t>UNI-ROYAL</t>
  </si>
  <si>
    <t>0402WGF1001TCE</t>
  </si>
  <si>
    <t>LCSC C11702</t>
  </si>
  <si>
    <t>Resistencia 2,2 kΩ ±1 % 62,5 mW (pull-up I2C2)</t>
  </si>
  <si>
    <t>RC0402FR-072K2L</t>
  </si>
  <si>
    <t>LCSC C114762</t>
  </si>
  <si>
    <t>Resistencia 4,7 kΩ ±1 % 62,5 mW (pull-up I2C1, I2C3)</t>
  </si>
  <si>
    <t>RC0402FR-074K7L</t>
  </si>
  <si>
    <t>LCSC C105871</t>
  </si>
  <si>
    <t>Resistencia 10 kΩ ±1 % 62,5 mW (pull-ups, BOOT0)</t>
  </si>
  <si>
    <t>RC0402FR-0710KL</t>
  </si>
  <si>
    <t>LCSC C60490</t>
  </si>
  <si>
    <t>Resistencia 100 kΩ ±1 % 62,5 mW (pull-downs de habilitación)</t>
  </si>
  <si>
    <t>RC0402FR-07100KL</t>
  </si>
  <si>
    <t>LCSC C60491</t>
  </si>
  <si>
    <t>Resistencia shunt 0,47 Ω ±1 % 100 mW (medición MTQ)</t>
  </si>
  <si>
    <t>RL0603FR-070R47L</t>
  </si>
  <si>
    <t>LCSC C326953</t>
  </si>
  <si>
    <t>Estimado: «desde 0,0113 USD»; sin stock en LCSC hoy (alternativa: UNI-ROYAL 0603WAF470LT5E, mismo valor y encapsulado)</t>
  </si>
  <si>
    <t>Ferrita 600 Ω @100 MHz, 300 mA, 0,52 Ω DC (VDDA)</t>
  </si>
  <si>
    <t>BLM15AG601SN1D</t>
  </si>
  <si>
    <t>LCSC C76884</t>
  </si>
  <si>
    <t>Configuración: variante única, todos los componentes montados; no hay componentes opcionales ni DNP. TP1–TP11 son pads de prueba sin componente. Designadores del esquemático de referencia (hoja:designador; ×3 = canal MTQ repetido, ×4 = canal PANEL repetido); al anotar en Altium se reemplazan por los definitivos.</t>
  </si>
  <si>
    <t>Total de componentes montados por tarjeta</t>
  </si>
  <si>
    <t>Tasa EUR→USD</t>
  </si>
  <si>
    <t>TRM COP por USD</t>
  </si>
  <si>
    <t>Componente</t>
  </si>
  <si>
    <t>Moneda</t>
  </si>
  <si>
    <t>Mínimo</t>
  </si>
  <si>
    <t>Múltiplo</t>
  </si>
  <si>
    <t>Q1</t>
  </si>
  <si>
    <t>Q2</t>
  </si>
  <si>
    <t>Q3</t>
  </si>
  <si>
    <t>Q4</t>
  </si>
  <si>
    <t>Q5</t>
  </si>
  <si>
    <t>Q6</t>
  </si>
  <si>
    <t>Q7</t>
  </si>
  <si>
    <t>Q8</t>
  </si>
  <si>
    <t>P1</t>
  </si>
  <si>
    <t>P2</t>
  </si>
  <si>
    <t>P3</t>
  </si>
  <si>
    <t>P4</t>
  </si>
  <si>
    <t>P5</t>
  </si>
  <si>
    <t>P6</t>
  </si>
  <si>
    <t>P7</t>
  </si>
  <si>
    <t>P8</t>
  </si>
  <si>
    <t>Lote 10: compra</t>
  </si>
  <si>
    <t>Precio u (USD)</t>
  </si>
  <si>
    <t>Costo</t>
  </si>
  <si>
    <t>Sobrante</t>
  </si>
  <si>
    <t>Lote 100: compra</t>
  </si>
  <si>
    <t>Lote 1000: compra</t>
  </si>
  <si>
    <t>USD</t>
  </si>
  <si>
    <t>IS21EF04GP-JQLI (precio provisional)</t>
  </si>
  <si>
    <t>EUR</t>
  </si>
  <si>
    <t>Tamaño del lote</t>
  </si>
  <si>
    <t>Costo de componentes del lote (USD)</t>
  </si>
  <si>
    <t>Costo por tarjeta (USD)</t>
  </si>
  <si>
    <t>Observaciones</t>
  </si>
  <si>
    <t>Costo del lote (COP)</t>
  </si>
  <si>
    <t>Costo por tarjeta (COP)</t>
  </si>
  <si>
    <t>10 tarjetas</t>
  </si>
  <si>
    <t>Mínimos de compra (100 u en pasivos de LCSC, 5 u en ESQ-126, paquetes de 10 en JST) generan sobrantes (columna Sobrante).</t>
  </si>
  <si>
    <t>100 tarjetas</t>
  </si>
  <si>
    <t>La mayoría de los circuitos integrados ya están en su escala de 100 u.</t>
  </si>
  <si>
    <t>1000 tarjetas</t>
  </si>
  <si>
    <t>MCU, INA180, FTSH y eMMC sin escala de 1000 publicada: se mantiene el último precio (conservador).</t>
  </si>
  <si>
    <t>Precios cotizados en su moneda original (USD o EUR, columna C); EUR→USD con B1 y USD→COP con B2. No incluye fabricación de la PCB, ensamble, transporte ni impuestos.</t>
  </si>
  <si>
    <t>Configuración de costo: variante única, todos los componentes montados (sin DNP). Los puntos de prueba TP son pads de cobre, sin componente ni costo.</t>
  </si>
  <si>
    <t>Pasivos «Estimado»: LCSC solo publica el precio de su escala más alta («desde»); en el 100 nF, cuyas escalas sí están publicadas, el precio de 100 u es 1,8 veces el «desde». El efecto sobre el costo por tarjeta es menor de 0,1 USD.</t>
  </si>
  <si>
    <t>Notas de fuentes verificadas (enlaces y datos usados)</t>
  </si>
  <si>
    <t># Notas de fuentes verificadas (Práctica 4, P2 OBC-ADCS) — consulta 2026-10-07</t>
  </si>
  <si>
    <t>- STM32H743IIT6 (ST, DS12110): Cortex-M7, LQFP176 24x24, 1.62-3.6 V, -40..85 C, 2 MB flash, 1 MB RAM (192k TCM, 864k SRAM, 4k backup),</t>
  </si>
  <si>
    <t xml:space="preserve">  FMC SDRAM hasta 133 MHz (sinc.), QUADSPI 133 MHz, DCMI 8-14 bit hasta 80 MHz, 3 ADC 16-bit, 140 I/O, 4 USART + 4 UART, 6 SPI, 4 I2C, 2 SDMMC.</t>
  </si>
  <si>
    <t xml:space="preserve">  400 MHz/856 DMIPS (rev Y); 480 MHz/1027 DMIPS (rev V). DigiKey 497-17722-ND: 10 u = $14.03 (MX); TME 1 u 14.97 EUR. Lead 15 sem.</t>
  </si>
  <si>
    <t>- SDRAM ISSI IS42S16160L-6TLI (sustituye J, J-6TL obsoleto): 256 Mb 16Mx16, 166 MHz, 5.4 ns, 3.0-3.6 V, -40..85, TSOP-II 54 (10.16 mm).</t>
  </si>
  <si>
    <t xml:space="preserve">  DigiKey 706-IS42S16160L-6TLI-ND: 1 $4.94, 10 $4.603, 25 $4.4656, 50 $4.3616, 100 $4.2577, 250 $4.12112, 500 $4.01894, 1000 $3.91808. Stock 33. </t>
  </si>
  <si>
    <t xml:space="preserve">  Refresh 8K / 64 ms (industrial).</t>
  </si>
  <si>
    <t>- eMMC Alliance Memory ASFC4G31M-51BIN: 4 GB eMMC 5.1, MLC, VCC 2.7-3.6, VCCQ 1.7-1.95 o 2.7-3.6, -40..85, FBGA-153 (11.5x13), bus 1/4/8 bit, 0-200 MHz.</t>
  </si>
  <si>
    <t xml:space="preserve">  Future Electronics (4155744): 1 $4.57, 10 $4.48, 25 $4.41, 75 $4.33, 150+ $4.23; tray 160; stock 773. Alt: Kingston EMMC04G-WT32-01G10 $59.69 (1).</t>
  </si>
  <si>
    <t>- QSPI NOR Winbond W25Q128JVSIQ: 128 Mb, 133 MHz, 2.7-3.6 V, -40..85, SOIC-8 208 mil. DigiKey W25Q128JVSIQ-ND (USD): 1 $1.88, 10 $1.762, 25 1.7116,</t>
  </si>
  <si>
    <t xml:space="preserve">  90 1.64067, 180 1.60217, 270 1.5797, 540 1.54144, 1080 1.50348, 5040 1.42083; tube 90; stock 27,875.</t>
  </si>
  <si>
    <t>- IMU ST ISM330DHCXTR: 6 ejes, I2C/SPI, -40..105 C, LGA-14 2.5x3. DigiKey 497-19784-1-ND: 10 $6.756, 100 $5.9632 (digikey.com); 1000 $4.99 (DigiKey via zenode.ai).</t>
  </si>
  <si>
    <t>- Magnetometro ST LIS2MDLTR: 3 ejes, ±50 G, 1.71-3.6 V, -40..85, LGA-12. Newark 07AH6648: 10+ $2.71, 100+ $2.35, 1000+ $2.08.</t>
  </si>
  <si>
    <t xml:space="preserve">  (LIS3MDL descartado: NRND en ST, obsoleto en DigiKey.)</t>
  </si>
  <si>
    <t>- RTC Micro Crystal RV-3032-C7-32.768KHZ-2.5PPM-TA-QC: compensado en T, ±1.5 ppm (0..50 C), ±2.5 ppm (-40..85 C), 160 nA, 1.3-5.5 V, I2C 400 kHz,</t>
  </si>
  <si>
    <t xml:space="preserve">  CLKOUT 1 Hz-52 MHz, backup switchover, 3.2x1.5 mm. DigiKey: 10 $2.38, 100 $1.9573; JLCPCB C5127802: 1000+ $2.023.</t>
  </si>
  <si>
    <t>- AN4938 (ST) via resumen UWARG: VDD 4.7 uF bulk + 100 nF por pin VDD; VDDA 1 uF + 100 nF, ferrita desde VDD; VREF+ 1 uF + 100 nF (47 ohm desde VDDA);</t>
  </si>
  <si>
    <t xml:space="preserve">  VCAP1 y VCAP2 2.2 uF ESR&lt;100 mohm c/u, VCAP3 unido a los otros sin cap extra [aplica a encapsulados con VCAP3; el LQFP176 solo tiene VCAP en pines 81 y 125]; VDDLDO 4.7 uF. URL AN4938:</t>
  </si>
  <si>
    <t xml:space="preserve">  https://www.st.com/resource/en/application_note/an4938-getting-started-with-stm32h74xig-and-stm32h75xig-hardware-development-stmicroelectronics.pdf</t>
  </si>
  <si>
    <t>- Consumo STM32H7 (Emcraft SOM, según datasheet STM32H75xB): Run 400 MHz todos los periféricos 220 mA máx @3.3 V; QSPI NOR 28 mA (80 MHz DTR, MT25QL512);</t>
  </si>
  <si>
    <t xml:space="preserve">  SDRAM 2x32MB 120 mA burst @143 MHz (AS4C32M16SA) -&gt; ~60 mA/chip. https://www.emcraft.com/som/stm32h7/STM32H7-SOM-CURRENT_CONSUMPTION.pdf</t>
  </si>
  <si>
    <t xml:space="preserve">- IS42S16160J (Arrow): operating current 140 mA (dato de distribuidor). </t>
  </si>
  <si>
    <t>- eMMC ASFC: Tabla 4 'Current Consumption' en hoja de datos (no legible en búsqueda) -&gt; estimación declarada.</t>
  </si>
  <si>
    <t>- DRV8837DSGR (TI): H-bridge, VCC 1.8-7 V, VM 0-11 V, 1.8 A, -40..85, WSON-8 2x2 (PAD). Mouser 595-DRV8837DSGR: 10 $0.623, 100 $0.493, 1000 $0.405 (oemstrade 2026). DigiKey US: 10 $0.79, 100 $0.6299.</t>
  </si>
  <si>
    <t>- Samtec ESQ-126-39-G-D: PC/104 socket 2x26, 2.54 mm, THT, 5.7 A/contacto (dato distribuidor), -55..125 C. Master Electronics (USD): 5 $12.96, 25 $11.40, 50 $10.88,</t>
  </si>
  <si>
    <t xml:space="preserve">  100 $9.88, 250 $8.98, 500 $8.59, 1000+ $8.56; mín 5. Stock 254.</t>
  </si>
  <si>
    <t>- Hirose FH12-40S-0.5SH(55): FFC 40 pos 0.5 mm, contacto inferior, flip lock, 0.5 A/contacto, 50 V, -40..85, FFC 0.3 mm. Farnell (EUR): 1 2.79, 10 1.89, 100 1.79,</t>
  </si>
  <si>
    <t xml:space="preserve">  250 1.68, 500 1.60, 1000 1.51. Stock 707.</t>
  </si>
  <si>
    <t>- JST SM08B-GHS-TB(LF)(SN): GH 1.25 mm, 8 pos SMD R/A, 1 A, 50 V, -25..85 C. RS 175-5600 (EUR): 10-40 0.578, 50-90 0.539, 100-240 0.509, 250-490 0.48, 500+ 0.456.</t>
  </si>
  <si>
    <t>- JLCPCB capacidades (https://jlcpcb.com/capabilities/Capabilities, consulta 2026-10-07):</t>
  </si>
  <si>
    <t xml:space="preserve">  capas 1-32; impedancia controlada ±10% (4/6+ capas); FR-4 Tg; espesores 0.4/0.6/0.8/1.0/1.2/1.6/2.0 mm, tol ±10% (&gt;=1 mm);</t>
  </si>
  <si>
    <t xml:space="preserve">  cobre externo multicapa 1 oz/2 oz; interno 0.5 oz por defecto (1/2 oz opc.); acabados HASL/ENIG/OSP.</t>
  </si>
  <si>
    <t xml:space="preserve">  Drill multicapa 0.15-6.3 mm; via mín 0.15/0.25 mm (preferido hole 0.2 mm; 0.2/0.25 mm con diámetro &lt;0.45 mm cuesta más) -&gt; via estándar 0.3/0.45... </t>
  </si>
  <si>
    <t xml:space="preserve">  (regla: diámetro via &gt;= hole + 0.1 mm, pref +0.15). Tolerancia agujero +0.13/-0.08; posición ±0.075.</t>
  </si>
  <si>
    <t xml:space="preserve">  Traza/esp mín multicapa 1 oz: 0.09/0.09 mm (3 mil en fanout BGA); 2 oz: 0.15/0.15. Tolerancia ancho ±20%.</t>
  </si>
  <si>
    <t xml:space="preserve">  Anillo PTH multicapa 1 oz: rec 0.20, mín abs 0.15 mm. BGA pad 0.2-0.25 mm requiere ENIG; pad BGA-pista &gt;=0.1 (0.09 mín); via-in-pad rellena y tapada disponible.</t>
  </si>
  <si>
    <t xml:space="preserve">  Pad-pista 0.1 mm; pad SMD-pad 0.15 mm; via-pista 0.2; PTH-pista 0.28 (0.35 rec); NPTH-pista 0.2; inner via hole-cobre 0.2; inner PTH-cobre 0.3.</t>
  </si>
  <si>
    <t xml:space="preserve">  Máscara 1:1 (LDI); 0.09 mm apertura-pista vecina; puente máscara 0.10 mm (verde) / 0.13 (negro/blanco); vias tapadas &lt;=0.5 mm, 0.35 mm de aperturas.</t>
  </si>
  <si>
    <t xml:space="preserve">  Serigrafía línea &gt;=0.15, alto &gt;=1.0 mm, pad-serigrafía 0.15. Borde ruteado: cobre &gt;=0.2 mm; V-cut &gt;=0.4 mm. Hole-to-hole vias 0.2; pads 0.45.</t>
  </si>
  <si>
    <t xml:space="preserve">  Dk prepreg 7628: 4.4; 3313: 4.1; 2116: 4.16. Soldermask Dk 3.8.</t>
  </si>
  <si>
    <t>- INA180A2IDBVR (TI): ganancia 50 V/V ±1%, CM -0.2..26 V, VS 2.7-5.5 V, 260 uA, 350 kHz, -40..125, SOT-23-5. DigiKey US: 10 $0.31, 100 $0.2397. Mouser: 10 $0.218, 100 $0.167.</t>
  </si>
  <si>
    <t>- Samtec FTSH-105-01-F-DV: 10 pos 1.27 mm SMD (Cortex debug), 3.4 A, LCP -55..125. Findchips (distribuidor): 10 $0.801, 100 $0.757.</t>
  </si>
  <si>
    <t>- Decisión: sin load-switch en P2 (la P4 recibe 3V3_SW/5V_SW conmutados por P1 a través del bus).</t>
  </si>
  <si>
    <t>- Abracon ABM8-25.000MHZ-D2Y-T: 25 MHz ±20 ppm tol, ±30 ppm estab., CL 18 pF, ESR 50 ohm, -40..85, 3.2x2.5. DigiKey 535-13419-1-ND: 1 $0.58, 25 $0.456.</t>
  </si>
  <si>
    <t>- Samsung CL05B104KO5NNNC 100 nF X7R 16 V 0402: LCSC C1525: 100+ $0.0013, 1000+ $0.001, 3000+ $0.0009, 10000+ $0.0008 (mín 100, múltiplo 100).</t>
  </si>
  <si>
    <t>- EUR/USD 1.1559 (currencyconvert.online, 2026-08-09) -&gt; parámetro editable.</t>
  </si>
  <si>
    <t>- NXP UM10204 I2C (rev.7): tr max 1000 ns Sm / 300 ns Fm; Rp(max)=tr/(0.8473 Cb); Rp(min)=(VDD-VOL)/IOL (3 mA). https://www.nxp.com/docs/en/user-guide/UM10204.pdf</t>
  </si>
  <si>
    <t>- eMMC ASFC4G31MA-51BIN (2026-10-24): datasheet Alliance Rev 1.0 feb. 2025 https://www.alliancememory.com/wp-content/uploads/AllianceMemory_4GB_ASFC4G31MA-51BIN_eMMC_datasheet_Feb2025_V1.0.pdf ; 4 GB eMMC 5.1, VCC 2.7–3.6 V, VCCQ 1.7–1.95 o 2.7–3.6 V, −40…85 °C, VFBGA-153 11.5×13×0.8 paso 0.5; Tabla 20 RCMD 4.7–100k, RDAT 10–100k; Tabla 4 hasta 92 mA ICC y 145 mA ICCQ. Octopart: Future 1 $40.95, 10 $39.62, 100+ $39.00 (stock 15); estado obsoleto, LTB 2026-06-30. ASFC4G31M-51BIN: obsoleto, LTB 2025-06-03.</t>
  </si>
  <si>
    <t>- Verificación con hojas de datos (2026-10-25): DS12110 Rev 11 (ene. 2026); AN4938 Rev 7 (oct. 2024); AN2867 Rev 24 (feb. 2026); IS42S16160L Rev. A (21-04-2025); ASFC4G31MA-51BIN Rev 1.0 (feb. 2025); W25Q128JV Rev J (25-04-2024); ISM330DHCX DS13012 Rev 7 (nov. 2020); LIS2MDL DS12144 Rev 6 (jul. 2024); RV-3032-C7 datasheet v1.4 (11.2022); DRV8837 SLVSBA4F (abr. 2021); INA180 SBOS741H (jul. 2022); ABM8 (08.19.15); ESQ Rev CM; FTSH Rev BU; FH12 (01-10-2026); UM10204 Rev 7.0 (01-10-2021).</t>
  </si>
  <si>
    <t>- ECS-250-8-33-JGN-TR: ecsxtal.com (ECX-32, Rev 2021): CL 8 pF, ESR 40 Ω (24–54 MHz), C0 5 pF, −40…85 °C (opción N); Mouser: 1 $0.45, 10 $0.353, 100 $0.32, 500 $0.307, 1000 $0.285 (reel); stock 3.669 (2026-10-25).</t>
  </si>
  <si>
    <t>- Asignación de pines (consulta 2026-10-08): STMicroelectronics, STM32_open_pin_data, https://github.com/STMicroelectronics/STM32_open_pin_data — mcu/STM32H743IITx.xml (LQFP176: 140 E/S, solo VCAP en pines 81 y 125, PC2_C/PC3_C) y mcu/IP/GPIO-STM32H747_gpio_v1_0_Modes.xml (números AF).</t>
  </si>
  <si>
    <t>- C-10 eMMC ISSI IS21EF04GP-JCLI: datasheet IS21/22EF04GP/08GP Rev. A2 (30-05-2024) https://www.ickey.cn/static-pf/datasheet/a9/08/de44/a908de447eda0a763ac551e02727ee34.pdf ; Arrow https://www.arrow.com/en/products/is21ef04gp-jcli/integrated-silicon-solution-inc ; Suntsu https://suntsu.com/product/integrated-circuits/memory/flash-memory/is21ef04gp-jcli-tr/ (Active, 1.333 u, 2026-10-24). Sin precio publicado: costo provisional = precio verificado del ASFC4G31MA-51BIN (Future, 2026-10-24).</t>
  </si>
  <si>
    <t>- Ciclo de vida (2026-10-25): hoja Ciclo_de_vida, con la fuente de cada componente.</t>
  </si>
  <si>
    <t>Consulta de fuentes y precios: Moneda de análisis: USD; tasa EUR→USD editable en la hoja Costos.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</si>
</sst>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00FF"/>
      <name val="Arial"/>
      <charset val="1"/>
    </font>
    <font>
      <sz val="11"/>
      <color rgb="FF0000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2" borderId="0" xfId="0" applyFont="1" applyFill="1"/>
    <xf numFmtId="0" fontId="5" fillId="0" borderId="0" xfId="0" applyFont="1"/>
    <xf numFmtId="1" fontId="6" fillId="0" borderId="1" xfId="0" applyNumberFormat="1" applyFont="1" applyBorder="1" applyAlignment="1">
      <alignment vertical="top" wrapText="1"/>
    </xf>
    <xf numFmtId="1" fontId="6" fillId="4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0" fontId="7" fillId="0" borderId="0" xfId="0" applyFont="1"/>
    <xf numFmtId="1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  <xf numFmtId="3" fontId="0" fillId="0" borderId="0" xfId="0" applyNumberFormat="1"/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Costo de componentes por tarjeta (COP)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Costos!$F$35</c:f>
              <c:strCache>
                <c:ptCount val="1"/>
                <c:pt idx="0">
                  <c:v>Costo por tarjeta (COP)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Costos!$A$36:$A$38</c:f>
              <c:strCache>
                <c:ptCount val="3"/>
                <c:pt idx="0">
                  <c:v>10 tarjetas</c:v>
                </c:pt>
                <c:pt idx="1">
                  <c:v>100 tarjetas</c:v>
                </c:pt>
                <c:pt idx="2">
                  <c:v>1000 tarjetas</c:v>
                </c:pt>
              </c:strCache>
            </c:strRef>
          </c:cat>
          <c:val>
            <c:numRef>
              <c:f>Costos!$F$36:$F$38</c:f>
              <c:numCache>
                <c:formatCode>General</c:formatCode>
                <c:ptCount val="3"/>
                <c:pt idx="0">
                  <c:v>348341.98606564512</c:v>
                </c:pt>
                <c:pt idx="1">
                  <c:v>312680.41034768987</c:v>
                </c:pt>
                <c:pt idx="2">
                  <c:v>297135.24325682997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E-4E76-8C8A-D80876F17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426456"/>
        <c:axId val="37557692"/>
      </c:barChart>
      <c:catAx>
        <c:axId val="734264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Tarjetas por lote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7557692"/>
        <c:crosses val="autoZero"/>
        <c:auto val="1"/>
        <c:lblAlgn val="ctr"/>
        <c:lblOffset val="100"/>
        <c:noMultiLvlLbl val="0"/>
      </c:catAx>
      <c:valAx>
        <c:axId val="375576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 por tarjeta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73426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1752600</xdr:colOff>
      <xdr:row>43</xdr:row>
      <xdr:rowOff>47625</xdr:rowOff>
    </xdr:from>
    <xdr:to>
      <xdr:col>7</xdr:col>
      <xdr:colOff>147645</xdr:colOff>
      <xdr:row>57</xdr:row>
      <xdr:rowOff>80025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zoomScaleNormal="100" workbookViewId="0">
      <selection activeCell="A10" sqref="A10"/>
    </sheetView>
  </sheetViews>
  <sheetFormatPr baseColWidth="10" defaultColWidth="8.7109375" defaultRowHeight="15" x14ac:dyDescent="0.25"/>
  <cols>
    <col min="1" max="1" width="130" style="1" customWidth="1"/>
  </cols>
  <sheetData>
    <row r="1" spans="1:1" ht="15" customHeight="1" x14ac:dyDescent="0.25">
      <c r="A1" s="2" t="s">
        <v>0</v>
      </c>
    </row>
    <row r="2" spans="1:1" ht="15" customHeight="1" x14ac:dyDescent="0.25">
      <c r="A2" s="3" t="s">
        <v>1073</v>
      </c>
    </row>
    <row r="3" spans="1:1" ht="15" customHeight="1" x14ac:dyDescent="0.25">
      <c r="A3" s="3" t="s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style="1" customWidth="1"/>
    <col min="2" max="2" width="22" style="1" customWidth="1"/>
    <col min="3" max="3" width="30" style="1" customWidth="1"/>
    <col min="4" max="4" width="70" style="1" customWidth="1"/>
  </cols>
  <sheetData>
    <row r="1" spans="1:4" ht="15" customHeight="1" x14ac:dyDescent="0.25">
      <c r="A1" s="4" t="s">
        <v>2</v>
      </c>
      <c r="B1" s="4" t="s">
        <v>3</v>
      </c>
      <c r="C1" s="4" t="s">
        <v>4</v>
      </c>
      <c r="D1" s="4" t="s">
        <v>5</v>
      </c>
    </row>
    <row r="2" spans="1:4" ht="26.25" customHeight="1" x14ac:dyDescent="0.25">
      <c r="A2" s="5" t="s">
        <v>6</v>
      </c>
      <c r="B2" s="5" t="s">
        <v>7</v>
      </c>
      <c r="C2" s="5" t="s">
        <v>8</v>
      </c>
      <c r="D2" s="5" t="s">
        <v>9</v>
      </c>
    </row>
    <row r="3" spans="1:4" ht="15" customHeight="1" x14ac:dyDescent="0.25">
      <c r="A3" s="5" t="s">
        <v>10</v>
      </c>
      <c r="B3" s="5" t="s">
        <v>11</v>
      </c>
      <c r="C3" s="5" t="s">
        <v>12</v>
      </c>
      <c r="D3" s="5" t="s">
        <v>13</v>
      </c>
    </row>
    <row r="4" spans="1:4" ht="15" customHeight="1" x14ac:dyDescent="0.25">
      <c r="A4" s="5" t="s">
        <v>14</v>
      </c>
      <c r="B4" s="5" t="s">
        <v>15</v>
      </c>
      <c r="C4" s="5" t="s">
        <v>16</v>
      </c>
      <c r="D4" s="5" t="s">
        <v>17</v>
      </c>
    </row>
    <row r="5" spans="1:4" ht="15" customHeight="1" x14ac:dyDescent="0.25">
      <c r="A5" s="5" t="s">
        <v>18</v>
      </c>
      <c r="B5" s="5" t="s">
        <v>19</v>
      </c>
      <c r="C5" s="5" t="s">
        <v>20</v>
      </c>
      <c r="D5" s="5" t="s">
        <v>21</v>
      </c>
    </row>
    <row r="6" spans="1:4" ht="26.25" customHeight="1" x14ac:dyDescent="0.25">
      <c r="A6" s="5" t="s">
        <v>22</v>
      </c>
      <c r="B6" s="5" t="s">
        <v>23</v>
      </c>
      <c r="C6" s="5" t="s">
        <v>24</v>
      </c>
      <c r="D6" s="5" t="s">
        <v>25</v>
      </c>
    </row>
    <row r="7" spans="1:4" ht="15" customHeight="1" x14ac:dyDescent="0.25">
      <c r="A7" s="5" t="s">
        <v>26</v>
      </c>
      <c r="B7" s="5" t="s">
        <v>27</v>
      </c>
      <c r="C7" s="5" t="s">
        <v>28</v>
      </c>
      <c r="D7" s="5" t="s">
        <v>29</v>
      </c>
    </row>
    <row r="8" spans="1:4" ht="15" customHeight="1" x14ac:dyDescent="0.25">
      <c r="A8" s="5" t="s">
        <v>30</v>
      </c>
      <c r="B8" s="5" t="s">
        <v>31</v>
      </c>
      <c r="C8" s="5" t="s">
        <v>32</v>
      </c>
      <c r="D8" s="5" t="s">
        <v>33</v>
      </c>
    </row>
    <row r="9" spans="1:4" ht="15" customHeight="1" x14ac:dyDescent="0.25">
      <c r="A9" s="5" t="s">
        <v>34</v>
      </c>
      <c r="B9" s="5" t="s">
        <v>35</v>
      </c>
      <c r="C9" s="5" t="s">
        <v>36</v>
      </c>
      <c r="D9" s="5" t="s">
        <v>37</v>
      </c>
    </row>
    <row r="10" spans="1:4" ht="15" customHeight="1" x14ac:dyDescent="0.25">
      <c r="A10" s="5" t="s">
        <v>38</v>
      </c>
      <c r="B10" s="5" t="s">
        <v>39</v>
      </c>
      <c r="C10" s="5" t="s">
        <v>40</v>
      </c>
      <c r="D10" s="5" t="s">
        <v>41</v>
      </c>
    </row>
    <row r="11" spans="1:4" ht="15" customHeight="1" x14ac:dyDescent="0.25">
      <c r="A11" s="5" t="s">
        <v>42</v>
      </c>
      <c r="B11" s="5" t="s">
        <v>43</v>
      </c>
      <c r="C11" s="5" t="s">
        <v>44</v>
      </c>
      <c r="D11" s="5" t="s">
        <v>45</v>
      </c>
    </row>
    <row r="12" spans="1:4" ht="15" customHeight="1" x14ac:dyDescent="0.25">
      <c r="A12" s="5" t="s">
        <v>46</v>
      </c>
      <c r="B12" s="5" t="s">
        <v>47</v>
      </c>
      <c r="C12" s="5" t="s">
        <v>48</v>
      </c>
      <c r="D12" s="5" t="s">
        <v>49</v>
      </c>
    </row>
    <row r="13" spans="1:4" ht="15" customHeight="1" x14ac:dyDescent="0.25">
      <c r="A13" s="5" t="s">
        <v>50</v>
      </c>
      <c r="B13" s="5" t="s">
        <v>51</v>
      </c>
      <c r="C13" s="5" t="s">
        <v>52</v>
      </c>
      <c r="D13" s="5" t="s">
        <v>53</v>
      </c>
    </row>
    <row r="14" spans="1:4" ht="15" customHeight="1" x14ac:dyDescent="0.25">
      <c r="A14" s="5" t="s">
        <v>54</v>
      </c>
      <c r="B14" s="5" t="s">
        <v>55</v>
      </c>
      <c r="C14" s="5" t="s">
        <v>56</v>
      </c>
      <c r="D14" s="5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7" style="1" customWidth="1"/>
    <col min="2" max="2" width="28" style="1" customWidth="1"/>
    <col min="3" max="4" width="60" style="1" customWidth="1"/>
  </cols>
  <sheetData>
    <row r="1" spans="1:4" ht="15" customHeight="1" x14ac:dyDescent="0.25">
      <c r="A1" s="4" t="s">
        <v>58</v>
      </c>
      <c r="B1" s="4" t="s">
        <v>59</v>
      </c>
      <c r="C1" s="4" t="s">
        <v>60</v>
      </c>
      <c r="D1" s="4" t="s">
        <v>61</v>
      </c>
    </row>
    <row r="2" spans="1:4" ht="39" customHeight="1" x14ac:dyDescent="0.25">
      <c r="A2" s="5" t="s">
        <v>62</v>
      </c>
      <c r="B2" s="5" t="s">
        <v>63</v>
      </c>
      <c r="C2" s="5" t="s">
        <v>64</v>
      </c>
      <c r="D2" s="5" t="s">
        <v>65</v>
      </c>
    </row>
    <row r="3" spans="1:4" ht="26.25" customHeight="1" x14ac:dyDescent="0.25">
      <c r="A3" s="5" t="s">
        <v>66</v>
      </c>
      <c r="B3" s="5" t="s">
        <v>67</v>
      </c>
      <c r="C3" s="5" t="s">
        <v>68</v>
      </c>
      <c r="D3" s="5" t="s">
        <v>69</v>
      </c>
    </row>
    <row r="4" spans="1:4" ht="39" customHeight="1" x14ac:dyDescent="0.25">
      <c r="A4" s="5" t="s">
        <v>70</v>
      </c>
      <c r="B4" s="5" t="s">
        <v>71</v>
      </c>
      <c r="C4" s="5" t="s">
        <v>72</v>
      </c>
      <c r="D4" s="5" t="s">
        <v>73</v>
      </c>
    </row>
    <row r="5" spans="1:4" ht="26.25" customHeight="1" x14ac:dyDescent="0.25">
      <c r="A5" s="5" t="s">
        <v>74</v>
      </c>
      <c r="B5" s="5" t="s">
        <v>75</v>
      </c>
      <c r="C5" s="5" t="s">
        <v>76</v>
      </c>
      <c r="D5" s="5" t="s">
        <v>77</v>
      </c>
    </row>
    <row r="6" spans="1:4" ht="15" customHeight="1" x14ac:dyDescent="0.25">
      <c r="A6" s="5" t="s">
        <v>78</v>
      </c>
      <c r="B6" s="5" t="s">
        <v>79</v>
      </c>
      <c r="C6" s="5" t="s">
        <v>80</v>
      </c>
      <c r="D6" s="5" t="s">
        <v>81</v>
      </c>
    </row>
    <row r="7" spans="1:4" ht="26.25" customHeight="1" x14ac:dyDescent="0.25">
      <c r="A7" s="5" t="s">
        <v>82</v>
      </c>
      <c r="B7" s="5" t="s">
        <v>83</v>
      </c>
      <c r="C7" s="5" t="s">
        <v>84</v>
      </c>
      <c r="D7" s="5" t="s">
        <v>85</v>
      </c>
    </row>
    <row r="8" spans="1:4" x14ac:dyDescent="0.25">
      <c r="A8" s="1" t="s">
        <v>86</v>
      </c>
      <c r="B8" s="1" t="s">
        <v>87</v>
      </c>
      <c r="C8" s="1" t="s">
        <v>88</v>
      </c>
      <c r="D8" s="1" t="s">
        <v>89</v>
      </c>
    </row>
    <row r="9" spans="1:4" x14ac:dyDescent="0.25">
      <c r="A9" s="1" t="s">
        <v>90</v>
      </c>
      <c r="B9" s="1" t="s">
        <v>91</v>
      </c>
      <c r="C9" s="1" t="s">
        <v>92</v>
      </c>
      <c r="D9" s="1" t="s">
        <v>93</v>
      </c>
    </row>
    <row r="10" spans="1:4" x14ac:dyDescent="0.25">
      <c r="A10" s="1" t="s">
        <v>94</v>
      </c>
      <c r="B10" s="1" t="s">
        <v>95</v>
      </c>
      <c r="C10" s="1" t="s">
        <v>96</v>
      </c>
      <c r="D10" s="1" t="s">
        <v>97</v>
      </c>
    </row>
    <row r="11" spans="1:4" x14ac:dyDescent="0.25">
      <c r="A11" s="1" t="s">
        <v>98</v>
      </c>
      <c r="B11" s="1" t="s">
        <v>99</v>
      </c>
      <c r="C11" s="1" t="s">
        <v>100</v>
      </c>
      <c r="D11" s="1" t="s">
        <v>101</v>
      </c>
    </row>
    <row r="12" spans="1:4" x14ac:dyDescent="0.25">
      <c r="A12" s="1" t="s">
        <v>102</v>
      </c>
      <c r="B12" s="1" t="s">
        <v>103</v>
      </c>
      <c r="C12" s="1" t="s">
        <v>104</v>
      </c>
      <c r="D12" s="1" t="s">
        <v>105</v>
      </c>
    </row>
    <row r="13" spans="1:4" x14ac:dyDescent="0.25">
      <c r="A13" s="1" t="s">
        <v>106</v>
      </c>
      <c r="B13" s="1" t="s">
        <v>107</v>
      </c>
      <c r="C13" s="1" t="s">
        <v>108</v>
      </c>
      <c r="D13" s="1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style="1" customWidth="1"/>
    <col min="2" max="2" width="18" style="1" customWidth="1"/>
    <col min="3" max="3" width="26" style="1" customWidth="1"/>
    <col min="4" max="4" width="30" style="1" customWidth="1"/>
    <col min="5" max="5" width="70" style="1" customWidth="1"/>
    <col min="6" max="6" width="40" style="1" customWidth="1"/>
  </cols>
  <sheetData>
    <row r="1" spans="1:6" ht="15" customHeight="1" x14ac:dyDescent="0.25">
      <c r="A1" s="4" t="s">
        <v>110</v>
      </c>
      <c r="B1" s="4" t="s">
        <v>111</v>
      </c>
      <c r="C1" s="4" t="s">
        <v>112</v>
      </c>
      <c r="D1" s="4" t="s">
        <v>113</v>
      </c>
      <c r="E1" s="4" t="s">
        <v>114</v>
      </c>
      <c r="F1" s="4" t="s">
        <v>115</v>
      </c>
    </row>
    <row r="2" spans="1:6" ht="51.75" customHeight="1" x14ac:dyDescent="0.25">
      <c r="A2" s="5" t="s">
        <v>116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121</v>
      </c>
    </row>
    <row r="3" spans="1:6" ht="39" customHeight="1" x14ac:dyDescent="0.25">
      <c r="A3" s="5" t="s">
        <v>122</v>
      </c>
      <c r="B3" s="5" t="s">
        <v>123</v>
      </c>
      <c r="C3" s="5" t="s">
        <v>124</v>
      </c>
      <c r="D3" s="5" t="s">
        <v>125</v>
      </c>
      <c r="E3" s="5" t="s">
        <v>126</v>
      </c>
      <c r="F3" s="5" t="s">
        <v>127</v>
      </c>
    </row>
    <row r="4" spans="1:6" ht="39" customHeight="1" x14ac:dyDescent="0.25">
      <c r="A4" s="5" t="s">
        <v>128</v>
      </c>
      <c r="B4" s="5" t="s">
        <v>129</v>
      </c>
      <c r="C4" s="5" t="s">
        <v>130</v>
      </c>
      <c r="D4" s="5" t="s">
        <v>131</v>
      </c>
      <c r="E4" s="5" t="s">
        <v>132</v>
      </c>
      <c r="F4" s="5" t="s">
        <v>133</v>
      </c>
    </row>
    <row r="5" spans="1:6" ht="26.25" customHeight="1" x14ac:dyDescent="0.25">
      <c r="A5" s="5" t="s">
        <v>134</v>
      </c>
      <c r="B5" s="5" t="s">
        <v>135</v>
      </c>
      <c r="C5" s="5" t="s">
        <v>136</v>
      </c>
      <c r="D5" s="5" t="s">
        <v>137</v>
      </c>
      <c r="E5" s="5" t="s">
        <v>138</v>
      </c>
      <c r="F5" s="5" t="s">
        <v>139</v>
      </c>
    </row>
    <row r="6" spans="1:6" ht="26.25" customHeight="1" x14ac:dyDescent="0.25">
      <c r="A6" s="5" t="s">
        <v>140</v>
      </c>
      <c r="B6" s="5" t="s">
        <v>19</v>
      </c>
      <c r="C6" s="5" t="s">
        <v>141</v>
      </c>
      <c r="D6" s="5" t="s">
        <v>142</v>
      </c>
      <c r="E6" s="5" t="s">
        <v>143</v>
      </c>
      <c r="F6" s="5" t="s">
        <v>144</v>
      </c>
    </row>
    <row r="7" spans="1:6" ht="26.25" customHeight="1" x14ac:dyDescent="0.25">
      <c r="A7" s="5" t="s">
        <v>145</v>
      </c>
      <c r="B7" s="5" t="s">
        <v>19</v>
      </c>
      <c r="C7" s="5" t="s">
        <v>146</v>
      </c>
      <c r="D7" s="5" t="s">
        <v>147</v>
      </c>
      <c r="E7" s="5" t="s">
        <v>148</v>
      </c>
      <c r="F7" s="5" t="s">
        <v>149</v>
      </c>
    </row>
    <row r="8" spans="1:6" ht="39" customHeight="1" x14ac:dyDescent="0.25">
      <c r="A8" s="5" t="s">
        <v>150</v>
      </c>
      <c r="B8" s="5" t="s">
        <v>151</v>
      </c>
      <c r="C8" s="5" t="s">
        <v>152</v>
      </c>
      <c r="D8" s="5" t="s">
        <v>153</v>
      </c>
      <c r="E8" s="5" t="s">
        <v>154</v>
      </c>
      <c r="F8" s="5" t="s">
        <v>155</v>
      </c>
    </row>
    <row r="9" spans="1:6" ht="26.25" customHeight="1" x14ac:dyDescent="0.25">
      <c r="A9" s="5" t="s">
        <v>156</v>
      </c>
      <c r="B9" s="5" t="s">
        <v>157</v>
      </c>
      <c r="C9" s="5" t="s">
        <v>158</v>
      </c>
      <c r="D9" s="5" t="s">
        <v>159</v>
      </c>
      <c r="E9" s="5" t="s">
        <v>160</v>
      </c>
      <c r="F9" s="5" t="s">
        <v>161</v>
      </c>
    </row>
    <row r="10" spans="1:6" ht="26.25" customHeight="1" x14ac:dyDescent="0.25">
      <c r="A10" s="5" t="s">
        <v>162</v>
      </c>
      <c r="B10" s="5" t="s">
        <v>163</v>
      </c>
      <c r="C10" s="5" t="s">
        <v>164</v>
      </c>
      <c r="D10" s="5" t="s">
        <v>165</v>
      </c>
      <c r="E10" s="5" t="s">
        <v>166</v>
      </c>
      <c r="F10" s="5" t="s">
        <v>167</v>
      </c>
    </row>
    <row r="11" spans="1:6" ht="26.25" customHeight="1" x14ac:dyDescent="0.25">
      <c r="A11" s="5" t="s">
        <v>168</v>
      </c>
      <c r="B11" s="5" t="s">
        <v>169</v>
      </c>
      <c r="C11" s="5" t="s">
        <v>170</v>
      </c>
      <c r="D11" s="5" t="s">
        <v>171</v>
      </c>
      <c r="E11" s="5" t="s">
        <v>172</v>
      </c>
      <c r="F11" s="5" t="s">
        <v>173</v>
      </c>
    </row>
    <row r="12" spans="1:6" ht="26.25" customHeight="1" x14ac:dyDescent="0.25">
      <c r="A12" s="5" t="s">
        <v>174</v>
      </c>
      <c r="B12" s="5" t="s">
        <v>175</v>
      </c>
      <c r="C12" s="5" t="s">
        <v>176</v>
      </c>
      <c r="D12" s="5" t="s">
        <v>177</v>
      </c>
      <c r="E12" s="5" t="s">
        <v>178</v>
      </c>
      <c r="F12" s="5" t="s">
        <v>179</v>
      </c>
    </row>
    <row r="13" spans="1:6" ht="39" customHeight="1" x14ac:dyDescent="0.25">
      <c r="A13" s="5" t="s">
        <v>180</v>
      </c>
      <c r="B13" s="5" t="s">
        <v>181</v>
      </c>
      <c r="C13" s="5" t="s">
        <v>182</v>
      </c>
      <c r="D13" s="5" t="s">
        <v>183</v>
      </c>
      <c r="E13" s="5" t="s">
        <v>184</v>
      </c>
      <c r="F13" s="5" t="s">
        <v>185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6"/>
  <sheetViews>
    <sheetView zoomScaleNormal="100" workbookViewId="0">
      <selection activeCell="C121" sqref="C121"/>
    </sheetView>
  </sheetViews>
  <sheetFormatPr baseColWidth="10" defaultColWidth="8.7109375" defaultRowHeight="15" x14ac:dyDescent="0.25"/>
  <cols>
    <col min="1" max="1" width="6.5703125" style="1" customWidth="1"/>
    <col min="2" max="2" width="30" style="1" customWidth="1"/>
    <col min="3" max="3" width="34" style="1" customWidth="1"/>
  </cols>
  <sheetData>
    <row r="1" spans="1:3" ht="37.5" customHeight="1" x14ac:dyDescent="0.25">
      <c r="A1" s="25" t="s">
        <v>241</v>
      </c>
      <c r="B1" s="25"/>
      <c r="C1" s="25"/>
    </row>
    <row r="2" spans="1:3" ht="15" customHeight="1" x14ac:dyDescent="0.25">
      <c r="A2" s="4" t="s">
        <v>188</v>
      </c>
      <c r="B2" s="4" t="s">
        <v>189</v>
      </c>
      <c r="C2" s="4" t="s">
        <v>242</v>
      </c>
    </row>
    <row r="3" spans="1:3" ht="15" customHeight="1" x14ac:dyDescent="0.25">
      <c r="A3" s="5">
        <v>1</v>
      </c>
      <c r="B3" s="5" t="s">
        <v>231</v>
      </c>
      <c r="C3" s="5" t="s">
        <v>243</v>
      </c>
    </row>
    <row r="4" spans="1:3" ht="15" customHeight="1" x14ac:dyDescent="0.25">
      <c r="A4" s="5">
        <v>2</v>
      </c>
      <c r="B4" s="5" t="s">
        <v>244</v>
      </c>
      <c r="C4" s="5"/>
    </row>
    <row r="5" spans="1:3" ht="15" customHeight="1" x14ac:dyDescent="0.25">
      <c r="A5" s="5">
        <v>3</v>
      </c>
      <c r="B5" s="5" t="s">
        <v>232</v>
      </c>
      <c r="C5" s="5" t="s">
        <v>243</v>
      </c>
    </row>
    <row r="6" spans="1:3" ht="15" customHeight="1" x14ac:dyDescent="0.25">
      <c r="A6" s="5">
        <v>4</v>
      </c>
      <c r="B6" s="5" t="s">
        <v>244</v>
      </c>
      <c r="C6" s="5"/>
    </row>
    <row r="7" spans="1:3" ht="15" customHeight="1" x14ac:dyDescent="0.25">
      <c r="A7" s="5">
        <v>5</v>
      </c>
      <c r="B7" s="5" t="s">
        <v>207</v>
      </c>
      <c r="C7" s="5" t="s">
        <v>245</v>
      </c>
    </row>
    <row r="8" spans="1:3" ht="15" customHeight="1" x14ac:dyDescent="0.25">
      <c r="A8" s="5">
        <v>6</v>
      </c>
      <c r="B8" s="5" t="s">
        <v>246</v>
      </c>
      <c r="C8" s="5" t="s">
        <v>247</v>
      </c>
    </row>
    <row r="9" spans="1:3" ht="15" customHeight="1" x14ac:dyDescent="0.25">
      <c r="A9" s="5">
        <v>7</v>
      </c>
      <c r="B9" s="5" t="s">
        <v>229</v>
      </c>
      <c r="C9" s="5" t="s">
        <v>248</v>
      </c>
    </row>
    <row r="10" spans="1:3" ht="15" customHeight="1" x14ac:dyDescent="0.25">
      <c r="A10" s="5">
        <v>8</v>
      </c>
      <c r="B10" s="5" t="s">
        <v>206</v>
      </c>
      <c r="C10" s="5" t="s">
        <v>249</v>
      </c>
    </row>
    <row r="11" spans="1:3" ht="15" customHeight="1" x14ac:dyDescent="0.25">
      <c r="A11" s="5">
        <v>9</v>
      </c>
      <c r="B11" s="5" t="s">
        <v>212</v>
      </c>
      <c r="C11" s="5" t="s">
        <v>249</v>
      </c>
    </row>
    <row r="12" spans="1:3" ht="15" customHeight="1" x14ac:dyDescent="0.25">
      <c r="A12" s="5">
        <v>10</v>
      </c>
      <c r="B12" s="5" t="s">
        <v>213</v>
      </c>
      <c r="C12" s="5" t="s">
        <v>249</v>
      </c>
    </row>
    <row r="13" spans="1:3" ht="15" customHeight="1" x14ac:dyDescent="0.25">
      <c r="A13" s="5">
        <v>11</v>
      </c>
      <c r="B13" s="5" t="s">
        <v>244</v>
      </c>
      <c r="C13" s="5"/>
    </row>
    <row r="14" spans="1:3" ht="15" customHeight="1" x14ac:dyDescent="0.25">
      <c r="A14" s="5">
        <v>12</v>
      </c>
      <c r="B14" s="5" t="s">
        <v>244</v>
      </c>
      <c r="C14" s="5"/>
    </row>
    <row r="15" spans="1:3" ht="15" customHeight="1" x14ac:dyDescent="0.25">
      <c r="A15" s="5">
        <v>13</v>
      </c>
      <c r="B15" s="5" t="s">
        <v>215</v>
      </c>
      <c r="C15" s="5" t="s">
        <v>15</v>
      </c>
    </row>
    <row r="16" spans="1:3" ht="15" customHeight="1" x14ac:dyDescent="0.25">
      <c r="A16" s="5">
        <v>14</v>
      </c>
      <c r="B16" s="5" t="s">
        <v>217</v>
      </c>
      <c r="C16" s="5" t="s">
        <v>15</v>
      </c>
    </row>
    <row r="17" spans="1:3" ht="15" customHeight="1" x14ac:dyDescent="0.25">
      <c r="A17" s="5">
        <v>15</v>
      </c>
      <c r="B17" s="5" t="s">
        <v>205</v>
      </c>
      <c r="C17" s="5" t="s">
        <v>15</v>
      </c>
    </row>
    <row r="18" spans="1:3" ht="15" customHeight="1" x14ac:dyDescent="0.25">
      <c r="A18" s="5">
        <v>16</v>
      </c>
      <c r="B18" s="5" t="s">
        <v>209</v>
      </c>
      <c r="C18" s="5" t="s">
        <v>15</v>
      </c>
    </row>
    <row r="19" spans="1:3" ht="15" customHeight="1" x14ac:dyDescent="0.25">
      <c r="A19" s="5">
        <v>17</v>
      </c>
      <c r="B19" s="5" t="s">
        <v>233</v>
      </c>
      <c r="C19" s="5" t="s">
        <v>15</v>
      </c>
    </row>
    <row r="20" spans="1:3" ht="15" customHeight="1" x14ac:dyDescent="0.25">
      <c r="A20" s="5">
        <v>18</v>
      </c>
      <c r="B20" s="5" t="s">
        <v>225</v>
      </c>
      <c r="C20" s="5" t="s">
        <v>15</v>
      </c>
    </row>
    <row r="21" spans="1:3" ht="15" customHeight="1" x14ac:dyDescent="0.25">
      <c r="A21" s="5">
        <v>19</v>
      </c>
      <c r="B21" s="5" t="s">
        <v>244</v>
      </c>
      <c r="C21" s="5"/>
    </row>
    <row r="22" spans="1:3" ht="15" customHeight="1" x14ac:dyDescent="0.25">
      <c r="A22" s="5">
        <v>20</v>
      </c>
      <c r="B22" s="5" t="s">
        <v>244</v>
      </c>
      <c r="C22" s="5"/>
    </row>
    <row r="23" spans="1:3" ht="15" customHeight="1" x14ac:dyDescent="0.25">
      <c r="A23" s="5">
        <v>21</v>
      </c>
      <c r="B23" s="5" t="s">
        <v>250</v>
      </c>
      <c r="C23" s="5" t="s">
        <v>39</v>
      </c>
    </row>
    <row r="24" spans="1:3" ht="15" customHeight="1" x14ac:dyDescent="0.25">
      <c r="A24" s="5">
        <v>22</v>
      </c>
      <c r="B24" s="5" t="s">
        <v>251</v>
      </c>
      <c r="C24" s="5" t="s">
        <v>39</v>
      </c>
    </row>
    <row r="25" spans="1:3" ht="15" customHeight="1" x14ac:dyDescent="0.25">
      <c r="A25" s="5">
        <v>23</v>
      </c>
      <c r="B25" s="5" t="s">
        <v>252</v>
      </c>
      <c r="C25" s="5" t="s">
        <v>39</v>
      </c>
    </row>
    <row r="26" spans="1:3" ht="15" customHeight="1" x14ac:dyDescent="0.25">
      <c r="A26" s="5">
        <v>24</v>
      </c>
      <c r="B26" s="5" t="s">
        <v>204</v>
      </c>
      <c r="C26" s="5" t="s">
        <v>253</v>
      </c>
    </row>
    <row r="27" spans="1:3" ht="15" customHeight="1" x14ac:dyDescent="0.25">
      <c r="A27" s="5">
        <v>25</v>
      </c>
      <c r="B27" s="5" t="s">
        <v>203</v>
      </c>
      <c r="C27" s="5" t="s">
        <v>39</v>
      </c>
    </row>
    <row r="28" spans="1:3" ht="15" customHeight="1" x14ac:dyDescent="0.25">
      <c r="A28" s="5">
        <v>26</v>
      </c>
      <c r="B28" s="5" t="s">
        <v>244</v>
      </c>
      <c r="C28" s="5"/>
    </row>
    <row r="30" spans="1:3" ht="39.75" customHeight="1" x14ac:dyDescent="0.25">
      <c r="A30" s="26" t="s">
        <v>254</v>
      </c>
      <c r="B30" s="25"/>
      <c r="C30" s="25"/>
    </row>
    <row r="31" spans="1:3" ht="15" customHeight="1" x14ac:dyDescent="0.25">
      <c r="A31" s="4" t="s">
        <v>188</v>
      </c>
      <c r="B31" s="4" t="s">
        <v>189</v>
      </c>
      <c r="C31" s="4" t="s">
        <v>242</v>
      </c>
    </row>
    <row r="32" spans="1:3" ht="15" customHeight="1" x14ac:dyDescent="0.25">
      <c r="A32" s="5">
        <v>1</v>
      </c>
      <c r="B32" s="5" t="s">
        <v>255</v>
      </c>
      <c r="C32" s="5" t="s">
        <v>256</v>
      </c>
    </row>
    <row r="33" spans="1:3" ht="15" customHeight="1" x14ac:dyDescent="0.25">
      <c r="A33" s="5">
        <v>2</v>
      </c>
      <c r="B33" s="5" t="s">
        <v>255</v>
      </c>
      <c r="C33" s="5" t="s">
        <v>256</v>
      </c>
    </row>
    <row r="34" spans="1:3" ht="15" customHeight="1" x14ac:dyDescent="0.25">
      <c r="A34" s="5">
        <v>3</v>
      </c>
      <c r="B34" s="5" t="s">
        <v>255</v>
      </c>
      <c r="C34" s="5" t="s">
        <v>256</v>
      </c>
    </row>
    <row r="35" spans="1:3" ht="15" customHeight="1" x14ac:dyDescent="0.25">
      <c r="A35" s="5">
        <v>4</v>
      </c>
      <c r="B35" s="5" t="s">
        <v>244</v>
      </c>
      <c r="C35" s="5"/>
    </row>
    <row r="36" spans="1:3" ht="15" customHeight="1" x14ac:dyDescent="0.25">
      <c r="A36" s="5">
        <v>5</v>
      </c>
      <c r="B36" s="5" t="s">
        <v>244</v>
      </c>
      <c r="C36" s="5"/>
    </row>
    <row r="37" spans="1:3" ht="15" customHeight="1" x14ac:dyDescent="0.25">
      <c r="A37" s="5">
        <v>6</v>
      </c>
      <c r="B37" s="5" t="s">
        <v>244</v>
      </c>
      <c r="C37" s="5"/>
    </row>
    <row r="38" spans="1:3" ht="15" customHeight="1" x14ac:dyDescent="0.25">
      <c r="A38" s="5">
        <v>7</v>
      </c>
      <c r="B38" s="5" t="s">
        <v>257</v>
      </c>
      <c r="C38" s="5" t="s">
        <v>258</v>
      </c>
    </row>
    <row r="39" spans="1:3" ht="15" customHeight="1" x14ac:dyDescent="0.25">
      <c r="A39" s="5">
        <v>8</v>
      </c>
      <c r="B39" s="5" t="s">
        <v>257</v>
      </c>
      <c r="C39" s="5" t="s">
        <v>256</v>
      </c>
    </row>
    <row r="40" spans="1:3" ht="15" customHeight="1" x14ac:dyDescent="0.25">
      <c r="A40" s="5">
        <v>9</v>
      </c>
      <c r="B40" s="5" t="s">
        <v>244</v>
      </c>
      <c r="C40" s="5"/>
    </row>
    <row r="41" spans="1:3" ht="15" customHeight="1" x14ac:dyDescent="0.25">
      <c r="A41" s="5">
        <v>10</v>
      </c>
      <c r="B41" s="5" t="s">
        <v>244</v>
      </c>
      <c r="C41" s="5"/>
    </row>
    <row r="42" spans="1:3" ht="15" customHeight="1" x14ac:dyDescent="0.25">
      <c r="A42" s="5">
        <v>11</v>
      </c>
      <c r="B42" s="5" t="s">
        <v>259</v>
      </c>
      <c r="C42" s="5" t="s">
        <v>260</v>
      </c>
    </row>
    <row r="43" spans="1:3" ht="15" customHeight="1" x14ac:dyDescent="0.25">
      <c r="A43" s="5">
        <v>12</v>
      </c>
      <c r="B43" s="5" t="s">
        <v>259</v>
      </c>
      <c r="C43" s="5" t="s">
        <v>256</v>
      </c>
    </row>
    <row r="44" spans="1:3" ht="15" customHeight="1" x14ac:dyDescent="0.25">
      <c r="A44" s="5">
        <v>13</v>
      </c>
      <c r="B44" s="5" t="s">
        <v>244</v>
      </c>
      <c r="C44" s="5"/>
    </row>
    <row r="45" spans="1:3" ht="15" customHeight="1" x14ac:dyDescent="0.25">
      <c r="A45" s="5">
        <v>14</v>
      </c>
      <c r="B45" s="5" t="s">
        <v>244</v>
      </c>
      <c r="C45" s="5"/>
    </row>
    <row r="46" spans="1:3" ht="15" customHeight="1" x14ac:dyDescent="0.25">
      <c r="A46" s="5">
        <v>15</v>
      </c>
      <c r="B46" s="5" t="s">
        <v>236</v>
      </c>
      <c r="C46" s="5" t="s">
        <v>261</v>
      </c>
    </row>
    <row r="47" spans="1:3" ht="15" customHeight="1" x14ac:dyDescent="0.25">
      <c r="A47" s="5">
        <v>16</v>
      </c>
      <c r="B47" s="5" t="s">
        <v>236</v>
      </c>
      <c r="C47" s="5" t="s">
        <v>262</v>
      </c>
    </row>
    <row r="48" spans="1:3" ht="15" customHeight="1" x14ac:dyDescent="0.25">
      <c r="A48" s="5">
        <v>17</v>
      </c>
      <c r="B48" s="5" t="s">
        <v>244</v>
      </c>
      <c r="C48" s="5"/>
    </row>
    <row r="50" spans="1:3" ht="29.25" customHeight="1" x14ac:dyDescent="0.25">
      <c r="A50" s="27" t="s">
        <v>263</v>
      </c>
      <c r="B50" s="28"/>
      <c r="C50" s="28"/>
    </row>
    <row r="51" spans="1:3" ht="15" customHeight="1" x14ac:dyDescent="0.25">
      <c r="A51" s="4" t="s">
        <v>188</v>
      </c>
      <c r="B51" s="4" t="s">
        <v>189</v>
      </c>
    </row>
    <row r="52" spans="1:3" ht="15" customHeight="1" x14ac:dyDescent="0.25">
      <c r="A52" s="5">
        <v>1</v>
      </c>
      <c r="B52" s="5" t="s">
        <v>244</v>
      </c>
    </row>
    <row r="53" spans="1:3" ht="15" customHeight="1" x14ac:dyDescent="0.25">
      <c r="A53" s="5">
        <v>2</v>
      </c>
      <c r="B53" s="5" t="s">
        <v>200</v>
      </c>
    </row>
    <row r="54" spans="1:3" ht="15" customHeight="1" x14ac:dyDescent="0.25">
      <c r="A54" s="5">
        <v>3</v>
      </c>
      <c r="B54" s="5" t="s">
        <v>201</v>
      </c>
    </row>
    <row r="55" spans="1:3" ht="15" customHeight="1" x14ac:dyDescent="0.25">
      <c r="A55" s="5">
        <v>4</v>
      </c>
      <c r="B55" s="5" t="s">
        <v>244</v>
      </c>
    </row>
    <row r="56" spans="1:3" ht="15" customHeight="1" x14ac:dyDescent="0.25">
      <c r="A56" s="5">
        <v>5</v>
      </c>
      <c r="B56" s="5" t="s">
        <v>224</v>
      </c>
    </row>
    <row r="57" spans="1:3" ht="15" customHeight="1" x14ac:dyDescent="0.25">
      <c r="A57" s="5">
        <v>6</v>
      </c>
      <c r="B57" s="5" t="s">
        <v>202</v>
      </c>
    </row>
    <row r="58" spans="1:3" ht="15" customHeight="1" x14ac:dyDescent="0.25">
      <c r="A58" s="5">
        <v>7</v>
      </c>
      <c r="B58" s="5" t="s">
        <v>244</v>
      </c>
    </row>
    <row r="59" spans="1:3" ht="15" customHeight="1" x14ac:dyDescent="0.25">
      <c r="A59" s="5">
        <v>8</v>
      </c>
      <c r="B59" s="5" t="s">
        <v>190</v>
      </c>
    </row>
    <row r="60" spans="1:3" ht="15" customHeight="1" x14ac:dyDescent="0.25">
      <c r="A60" s="5">
        <v>9</v>
      </c>
      <c r="B60" s="5" t="s">
        <v>220</v>
      </c>
    </row>
    <row r="61" spans="1:3" ht="15" customHeight="1" x14ac:dyDescent="0.25">
      <c r="A61" s="5">
        <v>10</v>
      </c>
      <c r="B61" s="5" t="s">
        <v>244</v>
      </c>
    </row>
    <row r="62" spans="1:3" ht="15" customHeight="1" x14ac:dyDescent="0.25">
      <c r="A62" s="5">
        <v>11</v>
      </c>
      <c r="B62" s="5" t="s">
        <v>191</v>
      </c>
    </row>
    <row r="63" spans="1:3" ht="15" customHeight="1" x14ac:dyDescent="0.25">
      <c r="A63" s="5">
        <v>12</v>
      </c>
      <c r="B63" s="5" t="s">
        <v>192</v>
      </c>
    </row>
    <row r="64" spans="1:3" ht="15" customHeight="1" x14ac:dyDescent="0.25">
      <c r="A64" s="5">
        <v>13</v>
      </c>
      <c r="B64" s="5" t="s">
        <v>244</v>
      </c>
    </row>
    <row r="65" spans="1:2" ht="15" customHeight="1" x14ac:dyDescent="0.25">
      <c r="A65" s="5">
        <v>14</v>
      </c>
      <c r="B65" s="5" t="s">
        <v>197</v>
      </c>
    </row>
    <row r="66" spans="1:2" ht="15" customHeight="1" x14ac:dyDescent="0.25">
      <c r="A66" s="5">
        <v>15</v>
      </c>
      <c r="B66" s="5" t="s">
        <v>216</v>
      </c>
    </row>
    <row r="67" spans="1:2" ht="15" customHeight="1" x14ac:dyDescent="0.25">
      <c r="A67" s="5">
        <v>16</v>
      </c>
      <c r="B67" s="5" t="s">
        <v>244</v>
      </c>
    </row>
    <row r="68" spans="1:2" ht="15" customHeight="1" x14ac:dyDescent="0.25">
      <c r="A68" s="5">
        <v>17</v>
      </c>
      <c r="B68" s="5" t="s">
        <v>228</v>
      </c>
    </row>
    <row r="69" spans="1:2" ht="15" customHeight="1" x14ac:dyDescent="0.25">
      <c r="A69" s="5">
        <v>18</v>
      </c>
      <c r="B69" s="5" t="s">
        <v>214</v>
      </c>
    </row>
    <row r="70" spans="1:2" ht="15" customHeight="1" x14ac:dyDescent="0.25">
      <c r="A70" s="5">
        <v>19</v>
      </c>
      <c r="B70" s="5" t="s">
        <v>244</v>
      </c>
    </row>
    <row r="71" spans="1:2" ht="15" customHeight="1" x14ac:dyDescent="0.25">
      <c r="A71" s="5">
        <v>20</v>
      </c>
      <c r="B71" s="5" t="s">
        <v>196</v>
      </c>
    </row>
    <row r="72" spans="1:2" ht="15" customHeight="1" x14ac:dyDescent="0.25">
      <c r="A72" s="5">
        <v>21</v>
      </c>
      <c r="B72" s="5" t="s">
        <v>244</v>
      </c>
    </row>
    <row r="73" spans="1:2" ht="15" customHeight="1" x14ac:dyDescent="0.25">
      <c r="A73" s="5">
        <v>22</v>
      </c>
      <c r="B73" s="5" t="s">
        <v>195</v>
      </c>
    </row>
    <row r="74" spans="1:2" ht="15" customHeight="1" x14ac:dyDescent="0.25">
      <c r="A74" s="5">
        <v>23</v>
      </c>
      <c r="B74" s="5" t="s">
        <v>230</v>
      </c>
    </row>
    <row r="75" spans="1:2" ht="15" customHeight="1" x14ac:dyDescent="0.25">
      <c r="A75" s="5">
        <v>24</v>
      </c>
      <c r="B75" s="5" t="s">
        <v>244</v>
      </c>
    </row>
    <row r="76" spans="1:2" ht="15" customHeight="1" x14ac:dyDescent="0.25">
      <c r="A76" s="5">
        <v>25</v>
      </c>
      <c r="B76" s="5" t="s">
        <v>208</v>
      </c>
    </row>
    <row r="77" spans="1:2" ht="15" customHeight="1" x14ac:dyDescent="0.25">
      <c r="A77" s="5">
        <v>26</v>
      </c>
      <c r="B77" s="5" t="s">
        <v>244</v>
      </c>
    </row>
    <row r="78" spans="1:2" ht="15" customHeight="1" x14ac:dyDescent="0.25">
      <c r="A78" s="5">
        <v>27</v>
      </c>
      <c r="B78" s="5" t="s">
        <v>198</v>
      </c>
    </row>
    <row r="79" spans="1:2" ht="15" customHeight="1" x14ac:dyDescent="0.25">
      <c r="A79" s="5">
        <v>28</v>
      </c>
      <c r="B79" s="5" t="s">
        <v>199</v>
      </c>
    </row>
    <row r="80" spans="1:2" ht="15" customHeight="1" x14ac:dyDescent="0.25">
      <c r="A80" s="5">
        <v>29</v>
      </c>
      <c r="B80" s="5" t="s">
        <v>234</v>
      </c>
    </row>
    <row r="81" spans="1:3" ht="15" customHeight="1" x14ac:dyDescent="0.25">
      <c r="A81" s="5">
        <v>30</v>
      </c>
      <c r="B81" s="5" t="s">
        <v>235</v>
      </c>
    </row>
    <row r="82" spans="1:3" ht="15" customHeight="1" x14ac:dyDescent="0.25">
      <c r="A82" s="5">
        <v>31</v>
      </c>
      <c r="B82" s="5" t="s">
        <v>186</v>
      </c>
    </row>
    <row r="83" spans="1:3" ht="15" customHeight="1" x14ac:dyDescent="0.25">
      <c r="A83" s="5">
        <v>32</v>
      </c>
      <c r="B83" s="5" t="s">
        <v>244</v>
      </c>
    </row>
    <row r="84" spans="1:3" ht="15" customHeight="1" x14ac:dyDescent="0.25">
      <c r="A84" s="5">
        <v>33</v>
      </c>
      <c r="B84" s="5" t="s">
        <v>257</v>
      </c>
    </row>
    <row r="85" spans="1:3" ht="15" customHeight="1" x14ac:dyDescent="0.25">
      <c r="A85" s="5">
        <v>34</v>
      </c>
      <c r="B85" s="5" t="s">
        <v>257</v>
      </c>
    </row>
    <row r="86" spans="1:3" ht="15" customHeight="1" x14ac:dyDescent="0.25">
      <c r="A86" s="5">
        <v>35</v>
      </c>
      <c r="B86" s="5" t="s">
        <v>257</v>
      </c>
    </row>
    <row r="87" spans="1:3" ht="15" customHeight="1" x14ac:dyDescent="0.25">
      <c r="A87" s="5">
        <v>36</v>
      </c>
      <c r="B87" s="5" t="s">
        <v>244</v>
      </c>
    </row>
    <row r="88" spans="1:3" ht="15" customHeight="1" x14ac:dyDescent="0.25">
      <c r="A88" s="5">
        <v>37</v>
      </c>
      <c r="B88" s="5" t="s">
        <v>244</v>
      </c>
    </row>
    <row r="89" spans="1:3" ht="15" customHeight="1" x14ac:dyDescent="0.25">
      <c r="A89" s="5">
        <v>38</v>
      </c>
      <c r="B89" s="5" t="s">
        <v>194</v>
      </c>
    </row>
    <row r="90" spans="1:3" ht="15" customHeight="1" x14ac:dyDescent="0.25">
      <c r="A90" s="5">
        <v>39</v>
      </c>
      <c r="B90" s="5" t="s">
        <v>244</v>
      </c>
    </row>
    <row r="91" spans="1:3" ht="15" customHeight="1" x14ac:dyDescent="0.25">
      <c r="A91" s="5">
        <v>40</v>
      </c>
      <c r="B91" s="5" t="s">
        <v>244</v>
      </c>
    </row>
    <row r="93" spans="1:3" ht="44.25" customHeight="1" x14ac:dyDescent="0.25">
      <c r="A93" s="27" t="s">
        <v>264</v>
      </c>
      <c r="B93" s="28"/>
      <c r="C93" s="28"/>
    </row>
    <row r="94" spans="1:3" ht="15" customHeight="1" x14ac:dyDescent="0.25">
      <c r="A94" s="4" t="s">
        <v>188</v>
      </c>
      <c r="B94" s="4" t="s">
        <v>189</v>
      </c>
    </row>
    <row r="95" spans="1:3" ht="15" customHeight="1" x14ac:dyDescent="0.25">
      <c r="A95" s="5">
        <v>1</v>
      </c>
      <c r="B95" s="5" t="s">
        <v>265</v>
      </c>
    </row>
    <row r="96" spans="1:3" ht="15" customHeight="1" x14ac:dyDescent="0.25">
      <c r="A96" s="5">
        <v>2</v>
      </c>
      <c r="B96" s="5" t="s">
        <v>266</v>
      </c>
    </row>
    <row r="97" spans="1:3" ht="15" customHeight="1" x14ac:dyDescent="0.25">
      <c r="A97" s="5">
        <v>3</v>
      </c>
      <c r="B97" s="5" t="s">
        <v>267</v>
      </c>
    </row>
    <row r="98" spans="1:3" ht="15" customHeight="1" x14ac:dyDescent="0.25">
      <c r="A98" s="5">
        <v>4</v>
      </c>
      <c r="B98" s="5" t="s">
        <v>268</v>
      </c>
    </row>
    <row r="99" spans="1:3" ht="15" customHeight="1" x14ac:dyDescent="0.25">
      <c r="A99" s="5">
        <v>5</v>
      </c>
      <c r="B99" s="5" t="s">
        <v>269</v>
      </c>
    </row>
    <row r="100" spans="1:3" ht="15" customHeight="1" x14ac:dyDescent="0.25">
      <c r="A100" s="5">
        <v>6</v>
      </c>
      <c r="B100" s="5" t="s">
        <v>270</v>
      </c>
    </row>
    <row r="101" spans="1:3" ht="15" customHeight="1" x14ac:dyDescent="0.25">
      <c r="A101" s="5">
        <v>7</v>
      </c>
      <c r="B101" s="5" t="s">
        <v>271</v>
      </c>
    </row>
    <row r="102" spans="1:3" ht="15" customHeight="1" x14ac:dyDescent="0.25">
      <c r="A102" s="5">
        <v>8</v>
      </c>
      <c r="B102" s="5" t="s">
        <v>244</v>
      </c>
    </row>
    <row r="104" spans="1:3" ht="24.75" customHeight="1" x14ac:dyDescent="0.25">
      <c r="A104" s="27" t="s">
        <v>272</v>
      </c>
      <c r="B104" s="28"/>
      <c r="C104" s="28"/>
    </row>
    <row r="105" spans="1:3" ht="15" customHeight="1" x14ac:dyDescent="0.25">
      <c r="A105" s="4" t="s">
        <v>188</v>
      </c>
      <c r="B105" s="4" t="s">
        <v>189</v>
      </c>
    </row>
    <row r="106" spans="1:3" ht="15" customHeight="1" x14ac:dyDescent="0.25">
      <c r="A106" s="5">
        <v>1</v>
      </c>
      <c r="B106" s="5" t="s">
        <v>221</v>
      </c>
    </row>
    <row r="107" spans="1:3" ht="15" customHeight="1" x14ac:dyDescent="0.25">
      <c r="A107" s="5">
        <v>2</v>
      </c>
      <c r="B107" s="5" t="s">
        <v>222</v>
      </c>
    </row>
    <row r="108" spans="1:3" ht="15" customHeight="1" x14ac:dyDescent="0.25">
      <c r="A108" s="5">
        <v>3</v>
      </c>
      <c r="B108" s="5" t="s">
        <v>226</v>
      </c>
    </row>
    <row r="109" spans="1:3" ht="15" customHeight="1" x14ac:dyDescent="0.25">
      <c r="A109" s="5">
        <v>4</v>
      </c>
      <c r="B109" s="5" t="s">
        <v>223</v>
      </c>
    </row>
    <row r="110" spans="1:3" ht="15" customHeight="1" x14ac:dyDescent="0.25">
      <c r="A110" s="5">
        <v>5</v>
      </c>
      <c r="B110" s="5" t="s">
        <v>210</v>
      </c>
    </row>
    <row r="111" spans="1:3" ht="15" customHeight="1" x14ac:dyDescent="0.25">
      <c r="A111" s="5">
        <v>6</v>
      </c>
      <c r="B111" s="5" t="s">
        <v>193</v>
      </c>
    </row>
    <row r="112" spans="1:3" ht="15" customHeight="1" x14ac:dyDescent="0.25">
      <c r="A112" s="5">
        <v>7</v>
      </c>
      <c r="B112" s="5" t="s">
        <v>259</v>
      </c>
    </row>
    <row r="113" spans="1:3" ht="15" customHeight="1" x14ac:dyDescent="0.25">
      <c r="A113" s="5">
        <v>8</v>
      </c>
      <c r="B113" s="5" t="s">
        <v>244</v>
      </c>
    </row>
    <row r="115" spans="1:3" ht="26.25" customHeight="1" x14ac:dyDescent="0.25">
      <c r="A115" s="27" t="s">
        <v>273</v>
      </c>
      <c r="B115" s="28"/>
      <c r="C115" s="28"/>
    </row>
    <row r="116" spans="1:3" ht="15" customHeight="1" x14ac:dyDescent="0.25">
      <c r="A116" s="4" t="s">
        <v>188</v>
      </c>
      <c r="B116" s="4" t="s">
        <v>189</v>
      </c>
    </row>
    <row r="117" spans="1:3" ht="15" customHeight="1" x14ac:dyDescent="0.25">
      <c r="A117" s="5">
        <v>1</v>
      </c>
      <c r="B117" s="5" t="s">
        <v>274</v>
      </c>
    </row>
    <row r="118" spans="1:3" ht="15" customHeight="1" x14ac:dyDescent="0.25">
      <c r="A118" s="5">
        <v>2</v>
      </c>
      <c r="B118" s="5" t="s">
        <v>211</v>
      </c>
    </row>
    <row r="119" spans="1:3" ht="15" customHeight="1" x14ac:dyDescent="0.25">
      <c r="A119" s="5">
        <v>3</v>
      </c>
      <c r="B119" s="5" t="s">
        <v>244</v>
      </c>
    </row>
    <row r="120" spans="1:3" ht="15" customHeight="1" x14ac:dyDescent="0.25">
      <c r="A120" s="5">
        <v>4</v>
      </c>
      <c r="B120" s="5" t="s">
        <v>218</v>
      </c>
    </row>
    <row r="121" spans="1:3" ht="15" customHeight="1" x14ac:dyDescent="0.25">
      <c r="A121" s="5">
        <v>5</v>
      </c>
      <c r="B121" s="5" t="s">
        <v>244</v>
      </c>
    </row>
    <row r="122" spans="1:3" ht="15" customHeight="1" x14ac:dyDescent="0.25">
      <c r="A122" s="5">
        <v>6</v>
      </c>
      <c r="B122" s="5" t="s">
        <v>227</v>
      </c>
    </row>
    <row r="123" spans="1:3" ht="15" customHeight="1" x14ac:dyDescent="0.25">
      <c r="A123" s="5">
        <v>7</v>
      </c>
      <c r="B123" s="5" t="s">
        <v>275</v>
      </c>
    </row>
    <row r="124" spans="1:3" ht="15" customHeight="1" x14ac:dyDescent="0.25">
      <c r="A124" s="5">
        <v>8</v>
      </c>
      <c r="B124" s="5" t="s">
        <v>276</v>
      </c>
    </row>
    <row r="125" spans="1:3" ht="15" customHeight="1" x14ac:dyDescent="0.25">
      <c r="A125" s="5">
        <v>9</v>
      </c>
      <c r="B125" s="5" t="s">
        <v>244</v>
      </c>
    </row>
    <row r="126" spans="1:3" ht="15" customHeight="1" x14ac:dyDescent="0.25">
      <c r="A126" s="5">
        <v>10</v>
      </c>
      <c r="B126" s="5" t="s">
        <v>237</v>
      </c>
    </row>
  </sheetData>
  <mergeCells count="6">
    <mergeCell ref="A1:C1"/>
    <mergeCell ref="A30:C30"/>
    <mergeCell ref="A50:C50"/>
    <mergeCell ref="A93:C93"/>
    <mergeCell ref="A104:C104"/>
    <mergeCell ref="A115:C1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5"/>
  <sheetViews>
    <sheetView zoomScaleNormal="100" workbookViewId="0"/>
  </sheetViews>
  <sheetFormatPr baseColWidth="10" defaultColWidth="8.7109375" defaultRowHeight="15" x14ac:dyDescent="0.25"/>
  <cols>
    <col min="1" max="1" width="24" style="1" customWidth="1"/>
    <col min="2" max="2" width="40" style="1" customWidth="1"/>
    <col min="3" max="3" width="14" style="1" customWidth="1"/>
    <col min="4" max="4" width="10" style="1" customWidth="1"/>
    <col min="5" max="5" width="60" style="1" customWidth="1"/>
  </cols>
  <sheetData>
    <row r="1" spans="1:5" ht="15" customHeight="1" x14ac:dyDescent="0.25">
      <c r="A1" s="4" t="s">
        <v>277</v>
      </c>
      <c r="B1" s="4" t="s">
        <v>278</v>
      </c>
      <c r="C1" s="4" t="s">
        <v>279</v>
      </c>
      <c r="D1" s="4" t="s">
        <v>280</v>
      </c>
      <c r="E1" s="4" t="s">
        <v>281</v>
      </c>
    </row>
    <row r="2" spans="1:5" ht="15" customHeight="1" x14ac:dyDescent="0.25">
      <c r="A2" s="5" t="s">
        <v>282</v>
      </c>
      <c r="B2" s="5" t="s">
        <v>283</v>
      </c>
      <c r="C2" s="8">
        <v>220</v>
      </c>
      <c r="D2" s="5" t="s">
        <v>284</v>
      </c>
      <c r="E2" s="5" t="s">
        <v>285</v>
      </c>
    </row>
    <row r="3" spans="1:5" ht="15" customHeight="1" x14ac:dyDescent="0.25">
      <c r="A3" s="5" t="s">
        <v>282</v>
      </c>
      <c r="B3" s="5" t="s">
        <v>286</v>
      </c>
      <c r="C3" s="8">
        <v>105</v>
      </c>
      <c r="D3" s="5" t="s">
        <v>284</v>
      </c>
      <c r="E3" s="5" t="s">
        <v>287</v>
      </c>
    </row>
    <row r="4" spans="1:5" ht="15" customHeight="1" x14ac:dyDescent="0.25">
      <c r="A4" s="5" t="s">
        <v>282</v>
      </c>
      <c r="B4" s="5" t="s">
        <v>288</v>
      </c>
      <c r="C4" s="9">
        <v>120</v>
      </c>
      <c r="D4" s="5" t="s">
        <v>284</v>
      </c>
      <c r="E4" s="5" t="s">
        <v>289</v>
      </c>
    </row>
    <row r="5" spans="1:5" ht="26.25" customHeight="1" x14ac:dyDescent="0.25">
      <c r="A5" s="5" t="s">
        <v>282</v>
      </c>
      <c r="B5" s="5" t="s">
        <v>290</v>
      </c>
      <c r="C5" s="9">
        <v>25</v>
      </c>
      <c r="D5" s="5" t="s">
        <v>284</v>
      </c>
      <c r="E5" s="5" t="s">
        <v>291</v>
      </c>
    </row>
    <row r="6" spans="1:5" ht="15" customHeight="1" x14ac:dyDescent="0.25">
      <c r="A6" s="5" t="s">
        <v>282</v>
      </c>
      <c r="B6" s="5" t="s">
        <v>292</v>
      </c>
      <c r="C6" s="9">
        <v>4</v>
      </c>
      <c r="D6" s="5" t="s">
        <v>284</v>
      </c>
      <c r="E6" s="5" t="s">
        <v>293</v>
      </c>
    </row>
    <row r="7" spans="1:5" ht="15" customHeight="1" x14ac:dyDescent="0.25">
      <c r="A7" s="5" t="s">
        <v>282</v>
      </c>
      <c r="B7" s="5" t="s">
        <v>294</v>
      </c>
      <c r="C7" s="10">
        <f>$C$2+$C$3+$C$4+$C$5+$C$6</f>
        <v>474</v>
      </c>
      <c r="D7" s="5" t="s">
        <v>284</v>
      </c>
      <c r="E7" s="5" t="s">
        <v>295</v>
      </c>
    </row>
    <row r="8" spans="1:5" ht="15" customHeight="1" x14ac:dyDescent="0.25">
      <c r="A8" s="5" t="s">
        <v>282</v>
      </c>
      <c r="B8" s="5" t="s">
        <v>296</v>
      </c>
      <c r="C8" s="10">
        <f>$C$7*3.3/1000</f>
        <v>1.5641999999999998</v>
      </c>
      <c r="D8" s="5" t="s">
        <v>297</v>
      </c>
      <c r="E8" s="5" t="s">
        <v>298</v>
      </c>
    </row>
    <row r="9" spans="1:5" ht="15" customHeight="1" x14ac:dyDescent="0.25">
      <c r="A9" s="5" t="s">
        <v>299</v>
      </c>
      <c r="B9" s="5" t="s">
        <v>300</v>
      </c>
      <c r="C9" s="11">
        <v>0.35</v>
      </c>
      <c r="D9" s="5" t="s">
        <v>297</v>
      </c>
      <c r="E9" s="5" t="s">
        <v>301</v>
      </c>
    </row>
    <row r="10" spans="1:5" ht="15" customHeight="1" x14ac:dyDescent="0.25">
      <c r="A10" s="5" t="s">
        <v>302</v>
      </c>
      <c r="B10" s="5" t="s">
        <v>303</v>
      </c>
      <c r="C10" s="10">
        <f>0.8/3.3*1000</f>
        <v>242.42424242424246</v>
      </c>
      <c r="D10" s="5" t="s">
        <v>284</v>
      </c>
      <c r="E10" s="5" t="s">
        <v>304</v>
      </c>
    </row>
    <row r="11" spans="1:5" ht="15" customHeight="1" x14ac:dyDescent="0.25">
      <c r="A11" s="5" t="s">
        <v>302</v>
      </c>
      <c r="B11" s="5" t="s">
        <v>305</v>
      </c>
      <c r="C11" s="10">
        <f>(1.47+1.13)/5*1000</f>
        <v>519.99999999999989</v>
      </c>
      <c r="D11" s="5" t="s">
        <v>284</v>
      </c>
      <c r="E11" s="5" t="s">
        <v>306</v>
      </c>
    </row>
    <row r="12" spans="1:5" ht="15" customHeight="1" x14ac:dyDescent="0.25">
      <c r="A12" s="5" t="s">
        <v>302</v>
      </c>
      <c r="B12" s="5" t="s">
        <v>307</v>
      </c>
      <c r="C12" s="10">
        <f>$C$7+$C$10</f>
        <v>716.42424242424249</v>
      </c>
      <c r="D12" s="5" t="s">
        <v>284</v>
      </c>
      <c r="E12" s="5"/>
    </row>
    <row r="13" spans="1:5" ht="26.25" customHeight="1" x14ac:dyDescent="0.25">
      <c r="A13" s="5" t="s">
        <v>308</v>
      </c>
      <c r="B13" s="5" t="s">
        <v>309</v>
      </c>
      <c r="C13" s="9">
        <v>10</v>
      </c>
      <c r="D13" s="5" t="s">
        <v>310</v>
      </c>
      <c r="E13" s="5" t="s">
        <v>311</v>
      </c>
    </row>
    <row r="14" spans="1:5" ht="26.25" customHeight="1" x14ac:dyDescent="0.25">
      <c r="A14" s="5" t="s">
        <v>308</v>
      </c>
      <c r="B14" s="5" t="s">
        <v>312</v>
      </c>
      <c r="C14" s="11">
        <v>1.3779999999999999</v>
      </c>
      <c r="D14" s="5" t="s">
        <v>313</v>
      </c>
      <c r="E14" s="5" t="s">
        <v>314</v>
      </c>
    </row>
    <row r="15" spans="1:5" ht="26.25" customHeight="1" x14ac:dyDescent="0.25">
      <c r="A15" s="5" t="s">
        <v>308</v>
      </c>
      <c r="B15" s="5" t="s">
        <v>315</v>
      </c>
      <c r="C15" s="10">
        <f>((($C$12/1000)/(0.048*$C$13^0.44))^(1/0.725))/$C$14*0.0254</f>
        <v>0.18962710308308889</v>
      </c>
      <c r="D15" s="5" t="s">
        <v>316</v>
      </c>
      <c r="E15" s="5" t="s">
        <v>317</v>
      </c>
    </row>
    <row r="16" spans="1:5" ht="26.25" customHeight="1" x14ac:dyDescent="0.25">
      <c r="A16" s="5" t="s">
        <v>308</v>
      </c>
      <c r="B16" s="5" t="s">
        <v>318</v>
      </c>
      <c r="C16" s="10">
        <f>((($C$12/1000)/(0.024*$C$13^0.44))^(1/0.725))/$C$14*0.0254</f>
        <v>0.49330350083915075</v>
      </c>
      <c r="D16" s="5" t="s">
        <v>316</v>
      </c>
      <c r="E16" s="5" t="s">
        <v>319</v>
      </c>
    </row>
    <row r="17" spans="1:5" ht="26.25" customHeight="1" x14ac:dyDescent="0.25">
      <c r="A17" s="5" t="s">
        <v>308</v>
      </c>
      <c r="B17" s="5" t="s">
        <v>320</v>
      </c>
      <c r="C17" s="10">
        <f>((($C$11/1000)/(0.048*$C$13^0.44))^(1/0.725))/$C$14*0.0254</f>
        <v>0.12188381096205625</v>
      </c>
      <c r="D17" s="5" t="s">
        <v>316</v>
      </c>
      <c r="E17" s="5"/>
    </row>
    <row r="18" spans="1:5" ht="15" customHeight="1" x14ac:dyDescent="0.25">
      <c r="A18" s="5" t="s">
        <v>321</v>
      </c>
      <c r="B18" s="5" t="s">
        <v>322</v>
      </c>
      <c r="C18" s="9">
        <v>60</v>
      </c>
      <c r="D18" s="5" t="s">
        <v>316</v>
      </c>
      <c r="E18" s="5" t="s">
        <v>323</v>
      </c>
    </row>
    <row r="19" spans="1:5" ht="15" customHeight="1" x14ac:dyDescent="0.25">
      <c r="A19" s="5" t="s">
        <v>321</v>
      </c>
      <c r="B19" s="5" t="s">
        <v>324</v>
      </c>
      <c r="C19" s="11">
        <v>0.5</v>
      </c>
      <c r="D19" s="5" t="s">
        <v>316</v>
      </c>
      <c r="E19" s="5" t="s">
        <v>325</v>
      </c>
    </row>
    <row r="20" spans="1:5" ht="15" customHeight="1" x14ac:dyDescent="0.25">
      <c r="A20" s="5" t="s">
        <v>321</v>
      </c>
      <c r="B20" s="5" t="s">
        <v>326</v>
      </c>
      <c r="C20" s="10">
        <f>0.0000000172*($C$18/1000)/(($C$19/1000)*0.000035)*($C$12/1000)*1000</f>
        <v>42.24856103896105</v>
      </c>
      <c r="D20" s="5" t="s">
        <v>327</v>
      </c>
      <c r="E20" s="5" t="s">
        <v>328</v>
      </c>
    </row>
    <row r="21" spans="1:5" ht="26.25" customHeight="1" x14ac:dyDescent="0.25">
      <c r="A21" s="5" t="s">
        <v>321</v>
      </c>
      <c r="B21" s="5" t="s">
        <v>329</v>
      </c>
      <c r="C21" s="10" t="str">
        <f>IF($C$20&lt;=30,"Sí","No → usar plano L3")</f>
        <v>No → usar plano L3</v>
      </c>
      <c r="D21" s="5"/>
      <c r="E21" s="5" t="s">
        <v>325</v>
      </c>
    </row>
    <row r="22" spans="1:5" ht="15" customHeight="1" x14ac:dyDescent="0.25">
      <c r="A22" s="5" t="s">
        <v>187</v>
      </c>
      <c r="B22" s="5" t="s">
        <v>330</v>
      </c>
      <c r="C22" s="8">
        <v>8</v>
      </c>
      <c r="D22" s="5" t="s">
        <v>331</v>
      </c>
      <c r="E22" s="5" t="s">
        <v>332</v>
      </c>
    </row>
    <row r="23" spans="1:5" ht="15" customHeight="1" x14ac:dyDescent="0.25">
      <c r="A23" s="5" t="s">
        <v>187</v>
      </c>
      <c r="B23" s="5" t="s">
        <v>333</v>
      </c>
      <c r="C23" s="9">
        <v>5</v>
      </c>
      <c r="D23" s="5" t="s">
        <v>331</v>
      </c>
      <c r="E23" s="5" t="s">
        <v>334</v>
      </c>
    </row>
    <row r="24" spans="1:5" ht="15" customHeight="1" x14ac:dyDescent="0.25">
      <c r="A24" s="5" t="s">
        <v>187</v>
      </c>
      <c r="B24" s="5" t="s">
        <v>335</v>
      </c>
      <c r="C24" s="10">
        <f>2*($C$22-$C$23)</f>
        <v>6</v>
      </c>
      <c r="D24" s="5" t="s">
        <v>331</v>
      </c>
      <c r="E24" s="5" t="s">
        <v>336</v>
      </c>
    </row>
    <row r="25" spans="1:5" ht="15" customHeight="1" x14ac:dyDescent="0.25">
      <c r="A25" s="5" t="s">
        <v>187</v>
      </c>
      <c r="B25" s="5" t="s">
        <v>337</v>
      </c>
      <c r="C25" s="10">
        <f>IF($C$24&lt;=5.6,5.6,6.8)</f>
        <v>6.8</v>
      </c>
      <c r="D25" s="5" t="s">
        <v>331</v>
      </c>
      <c r="E25" s="5" t="s">
        <v>338</v>
      </c>
    </row>
    <row r="26" spans="1:5" ht="15" customHeight="1" x14ac:dyDescent="0.25">
      <c r="A26" s="5" t="s">
        <v>339</v>
      </c>
      <c r="B26" s="5" t="s">
        <v>340</v>
      </c>
      <c r="C26" s="9">
        <v>100</v>
      </c>
      <c r="D26" s="5" t="s">
        <v>331</v>
      </c>
      <c r="E26" s="5" t="s">
        <v>341</v>
      </c>
    </row>
    <row r="27" spans="1:5" ht="26.25" customHeight="1" x14ac:dyDescent="0.25">
      <c r="A27" s="5" t="s">
        <v>339</v>
      </c>
      <c r="B27" s="5" t="s">
        <v>342</v>
      </c>
      <c r="C27" s="8">
        <v>1000</v>
      </c>
      <c r="D27" s="5" t="s">
        <v>343</v>
      </c>
      <c r="E27" s="5" t="s">
        <v>344</v>
      </c>
    </row>
    <row r="28" spans="1:5" ht="15" customHeight="1" x14ac:dyDescent="0.25">
      <c r="A28" s="5" t="s">
        <v>339</v>
      </c>
      <c r="B28" s="5" t="s">
        <v>345</v>
      </c>
      <c r="C28" s="10">
        <f>$C$27/(0.8473*$C$26)*1000</f>
        <v>11802.195208308745</v>
      </c>
      <c r="D28" s="5" t="s">
        <v>346</v>
      </c>
      <c r="E28" s="5" t="s">
        <v>347</v>
      </c>
    </row>
    <row r="29" spans="1:5" ht="15" customHeight="1" x14ac:dyDescent="0.25">
      <c r="A29" s="5" t="s">
        <v>339</v>
      </c>
      <c r="B29" s="5" t="s">
        <v>348</v>
      </c>
      <c r="C29" s="10">
        <f>(3.3-0.4)/0.003</f>
        <v>966.66666666666663</v>
      </c>
      <c r="D29" s="5" t="s">
        <v>346</v>
      </c>
      <c r="E29" s="5" t="s">
        <v>349</v>
      </c>
    </row>
    <row r="30" spans="1:5" ht="15" customHeight="1" x14ac:dyDescent="0.25">
      <c r="A30" s="5" t="s">
        <v>339</v>
      </c>
      <c r="B30" s="5" t="s">
        <v>350</v>
      </c>
      <c r="C30" s="8">
        <v>4700</v>
      </c>
      <c r="D30" s="5" t="s">
        <v>346</v>
      </c>
      <c r="E30" s="5" t="s">
        <v>351</v>
      </c>
    </row>
    <row r="31" spans="1:5" ht="15" customHeight="1" x14ac:dyDescent="0.25">
      <c r="A31" s="5" t="s">
        <v>339</v>
      </c>
      <c r="B31" s="5" t="s">
        <v>352</v>
      </c>
      <c r="C31" s="10" t="str">
        <f>IF(AND($C$30&gt;=$C$29,$C$30&lt;=$C$28),"Sí","No")</f>
        <v>Sí</v>
      </c>
      <c r="D31" s="5"/>
      <c r="E31" s="5"/>
    </row>
    <row r="32" spans="1:5" ht="15" customHeight="1" x14ac:dyDescent="0.25">
      <c r="A32" s="5" t="s">
        <v>353</v>
      </c>
      <c r="B32" s="5" t="s">
        <v>340</v>
      </c>
      <c r="C32" s="9">
        <v>50</v>
      </c>
      <c r="D32" s="5" t="s">
        <v>331</v>
      </c>
      <c r="E32" s="5" t="s">
        <v>341</v>
      </c>
    </row>
    <row r="33" spans="1:5" ht="15" customHeight="1" x14ac:dyDescent="0.25">
      <c r="A33" s="5" t="s">
        <v>353</v>
      </c>
      <c r="B33" s="5" t="s">
        <v>354</v>
      </c>
      <c r="C33" s="8">
        <v>300</v>
      </c>
      <c r="D33" s="5" t="s">
        <v>343</v>
      </c>
      <c r="E33" s="5" t="s">
        <v>344</v>
      </c>
    </row>
    <row r="34" spans="1:5" ht="15" customHeight="1" x14ac:dyDescent="0.25">
      <c r="A34" s="5" t="s">
        <v>353</v>
      </c>
      <c r="B34" s="5" t="s">
        <v>345</v>
      </c>
      <c r="C34" s="10">
        <f>$C$33/(0.8473*$C$32)*1000</f>
        <v>7081.3171249852476</v>
      </c>
      <c r="D34" s="5" t="s">
        <v>346</v>
      </c>
      <c r="E34" s="5" t="s">
        <v>347</v>
      </c>
    </row>
    <row r="35" spans="1:5" ht="15" customHeight="1" x14ac:dyDescent="0.25">
      <c r="A35" s="5" t="s">
        <v>353</v>
      </c>
      <c r="B35" s="5" t="s">
        <v>348</v>
      </c>
      <c r="C35" s="10">
        <f>(3.3-0.4)/0.003</f>
        <v>966.66666666666663</v>
      </c>
      <c r="D35" s="5" t="s">
        <v>346</v>
      </c>
      <c r="E35" s="5" t="s">
        <v>349</v>
      </c>
    </row>
    <row r="36" spans="1:5" ht="15" customHeight="1" x14ac:dyDescent="0.25">
      <c r="A36" s="5" t="s">
        <v>353</v>
      </c>
      <c r="B36" s="5" t="s">
        <v>350</v>
      </c>
      <c r="C36" s="8">
        <v>2200</v>
      </c>
      <c r="D36" s="5" t="s">
        <v>346</v>
      </c>
      <c r="E36" s="5" t="s">
        <v>351</v>
      </c>
    </row>
    <row r="37" spans="1:5" ht="15" customHeight="1" x14ac:dyDescent="0.25">
      <c r="A37" s="5" t="s">
        <v>353</v>
      </c>
      <c r="B37" s="5" t="s">
        <v>352</v>
      </c>
      <c r="C37" s="10" t="str">
        <f>IF(AND($C$36&gt;=$C$35,$C$36&lt;=$C$34),"Sí","No")</f>
        <v>Sí</v>
      </c>
      <c r="D37" s="5"/>
      <c r="E37" s="5"/>
    </row>
    <row r="38" spans="1:5" ht="15" customHeight="1" x14ac:dyDescent="0.25">
      <c r="A38" s="5" t="s">
        <v>355</v>
      </c>
      <c r="B38" s="5" t="s">
        <v>340</v>
      </c>
      <c r="C38" s="9">
        <v>60</v>
      </c>
      <c r="D38" s="5" t="s">
        <v>331</v>
      </c>
      <c r="E38" s="5" t="s">
        <v>341</v>
      </c>
    </row>
    <row r="39" spans="1:5" ht="26.25" customHeight="1" x14ac:dyDescent="0.25">
      <c r="A39" s="5" t="s">
        <v>355</v>
      </c>
      <c r="B39" s="5" t="s">
        <v>356</v>
      </c>
      <c r="C39" s="8">
        <v>1000</v>
      </c>
      <c r="D39" s="5" t="s">
        <v>343</v>
      </c>
      <c r="E39" s="5" t="s">
        <v>344</v>
      </c>
    </row>
    <row r="40" spans="1:5" ht="15" customHeight="1" x14ac:dyDescent="0.25">
      <c r="A40" s="5" t="s">
        <v>355</v>
      </c>
      <c r="B40" s="5" t="s">
        <v>345</v>
      </c>
      <c r="C40" s="10">
        <f>$C$39/(0.8473*$C$38)*1000</f>
        <v>19670.325347181239</v>
      </c>
      <c r="D40" s="5" t="s">
        <v>346</v>
      </c>
      <c r="E40" s="5" t="s">
        <v>347</v>
      </c>
    </row>
    <row r="41" spans="1:5" ht="15" customHeight="1" x14ac:dyDescent="0.25">
      <c r="A41" s="5" t="s">
        <v>355</v>
      </c>
      <c r="B41" s="5" t="s">
        <v>348</v>
      </c>
      <c r="C41" s="10">
        <f>(3.3-0.4)/0.003</f>
        <v>966.66666666666663</v>
      </c>
      <c r="D41" s="5" t="s">
        <v>346</v>
      </c>
      <c r="E41" s="5" t="s">
        <v>349</v>
      </c>
    </row>
    <row r="42" spans="1:5" ht="15" customHeight="1" x14ac:dyDescent="0.25">
      <c r="A42" s="5" t="s">
        <v>355</v>
      </c>
      <c r="B42" s="5" t="s">
        <v>350</v>
      </c>
      <c r="C42" s="8">
        <v>4700</v>
      </c>
      <c r="D42" s="5" t="s">
        <v>346</v>
      </c>
      <c r="E42" s="5" t="s">
        <v>351</v>
      </c>
    </row>
    <row r="43" spans="1:5" ht="15" customHeight="1" x14ac:dyDescent="0.25">
      <c r="A43" s="5" t="s">
        <v>355</v>
      </c>
      <c r="B43" s="5" t="s">
        <v>352</v>
      </c>
      <c r="C43" s="10" t="str">
        <f>IF(AND($C$42&gt;=$C$41,$C$42&lt;=$C$40),"Sí","No")</f>
        <v>Sí</v>
      </c>
      <c r="D43" s="5"/>
      <c r="E43" s="5"/>
    </row>
    <row r="44" spans="1:5" ht="15" customHeight="1" x14ac:dyDescent="0.25">
      <c r="A44" s="5" t="s">
        <v>357</v>
      </c>
      <c r="B44" s="5" t="s">
        <v>358</v>
      </c>
      <c r="C44" s="8">
        <v>120</v>
      </c>
      <c r="D44" s="5" t="s">
        <v>284</v>
      </c>
      <c r="E44" s="5" t="s">
        <v>163</v>
      </c>
    </row>
    <row r="45" spans="1:5" ht="15" customHeight="1" x14ac:dyDescent="0.25">
      <c r="A45" s="5" t="s">
        <v>357</v>
      </c>
      <c r="B45" s="5" t="s">
        <v>359</v>
      </c>
      <c r="C45" s="11">
        <v>0.47</v>
      </c>
      <c r="D45" s="5" t="s">
        <v>346</v>
      </c>
      <c r="E45" s="5" t="s">
        <v>112</v>
      </c>
    </row>
    <row r="46" spans="1:5" ht="15" customHeight="1" x14ac:dyDescent="0.25">
      <c r="A46" s="5" t="s">
        <v>357</v>
      </c>
      <c r="B46" s="5" t="s">
        <v>360</v>
      </c>
      <c r="C46" s="10">
        <f>50*$C$45*$C$44/1000</f>
        <v>2.82</v>
      </c>
      <c r="D46" s="5" t="s">
        <v>361</v>
      </c>
      <c r="E46" s="5" t="s">
        <v>362</v>
      </c>
    </row>
    <row r="47" spans="1:5" ht="15" customHeight="1" x14ac:dyDescent="0.25">
      <c r="A47" s="5" t="s">
        <v>357</v>
      </c>
      <c r="B47" s="5" t="s">
        <v>363</v>
      </c>
      <c r="C47" s="10">
        <f>$C$45*($C$44/1000)^2*1000</f>
        <v>6.7679999999999998</v>
      </c>
      <c r="D47" s="5" t="s">
        <v>364</v>
      </c>
      <c r="E47" s="5" t="s">
        <v>365</v>
      </c>
    </row>
    <row r="48" spans="1:5" ht="15" customHeight="1" x14ac:dyDescent="0.25">
      <c r="A48" s="5" t="s">
        <v>357</v>
      </c>
      <c r="B48" s="5" t="s">
        <v>366</v>
      </c>
      <c r="C48" s="10">
        <f>$C$45*$C$44</f>
        <v>56.4</v>
      </c>
      <c r="D48" s="5" t="s">
        <v>327</v>
      </c>
      <c r="E48" s="5"/>
    </row>
    <row r="49" spans="1:5" ht="26.25" customHeight="1" x14ac:dyDescent="0.25">
      <c r="A49" s="5" t="s">
        <v>357</v>
      </c>
      <c r="B49" s="5" t="s">
        <v>367</v>
      </c>
      <c r="C49" s="10">
        <f>5/($C$44/1000)</f>
        <v>41.666666666666671</v>
      </c>
      <c r="D49" s="5" t="s">
        <v>346</v>
      </c>
      <c r="E49" s="5" t="s">
        <v>368</v>
      </c>
    </row>
    <row r="50" spans="1:5" ht="15" customHeight="1" x14ac:dyDescent="0.25">
      <c r="A50" s="5" t="s">
        <v>369</v>
      </c>
      <c r="B50" s="5" t="s">
        <v>370</v>
      </c>
      <c r="C50" s="8">
        <v>1000</v>
      </c>
      <c r="D50" s="5" t="s">
        <v>346</v>
      </c>
      <c r="E50" s="5" t="s">
        <v>112</v>
      </c>
    </row>
    <row r="51" spans="1:5" ht="15" customHeight="1" x14ac:dyDescent="0.25">
      <c r="A51" s="5" t="s">
        <v>369</v>
      </c>
      <c r="B51" s="5" t="s">
        <v>371</v>
      </c>
      <c r="C51" s="8">
        <v>100</v>
      </c>
      <c r="D51" s="5" t="s">
        <v>372</v>
      </c>
      <c r="E51" s="5" t="s">
        <v>112</v>
      </c>
    </row>
    <row r="52" spans="1:5" ht="15" customHeight="1" x14ac:dyDescent="0.25">
      <c r="A52" s="5" t="s">
        <v>369</v>
      </c>
      <c r="B52" s="5" t="s">
        <v>373</v>
      </c>
      <c r="C52" s="10">
        <f>1/(2*PI()*$C$50*$C$51*0.000000001)</f>
        <v>1591.5494309189535</v>
      </c>
      <c r="D52" s="5" t="s">
        <v>374</v>
      </c>
      <c r="E52" s="5" t="s">
        <v>375</v>
      </c>
    </row>
    <row r="53" spans="1:5" ht="15" customHeight="1" x14ac:dyDescent="0.25">
      <c r="A53" s="5" t="s">
        <v>122</v>
      </c>
      <c r="B53" s="5" t="s">
        <v>376</v>
      </c>
      <c r="C53" s="8">
        <v>100</v>
      </c>
      <c r="D53" s="5" t="s">
        <v>377</v>
      </c>
      <c r="E53" s="5" t="s">
        <v>378</v>
      </c>
    </row>
    <row r="54" spans="1:5" ht="15" customHeight="1" x14ac:dyDescent="0.25">
      <c r="A54" s="5" t="s">
        <v>122</v>
      </c>
      <c r="B54" s="5" t="s">
        <v>379</v>
      </c>
      <c r="C54" s="8">
        <v>8192</v>
      </c>
      <c r="D54" s="5"/>
      <c r="E54" s="5" t="s">
        <v>380</v>
      </c>
    </row>
    <row r="55" spans="1:5" ht="15" customHeight="1" x14ac:dyDescent="0.25">
      <c r="A55" s="5" t="s">
        <v>122</v>
      </c>
      <c r="B55" s="5" t="s">
        <v>381</v>
      </c>
      <c r="C55" s="8">
        <v>64</v>
      </c>
      <c r="D55" s="5" t="s">
        <v>382</v>
      </c>
      <c r="E55" s="5" t="s">
        <v>383</v>
      </c>
    </row>
    <row r="56" spans="1:5" ht="15" customHeight="1" x14ac:dyDescent="0.25">
      <c r="A56" s="5" t="s">
        <v>122</v>
      </c>
      <c r="B56" s="5" t="s">
        <v>384</v>
      </c>
      <c r="C56" s="10">
        <f>ROUNDDOWN(($C$55*1000/$C$54)*$C$53,0)-20</f>
        <v>761</v>
      </c>
      <c r="D56" s="5" t="s">
        <v>385</v>
      </c>
      <c r="E56" s="5" t="s">
        <v>386</v>
      </c>
    </row>
    <row r="57" spans="1:5" ht="15" customHeight="1" x14ac:dyDescent="0.25">
      <c r="A57" s="5" t="s">
        <v>122</v>
      </c>
      <c r="B57" s="5" t="s">
        <v>387</v>
      </c>
      <c r="C57" s="10">
        <f>$C$53*2</f>
        <v>200</v>
      </c>
      <c r="D57" s="5" t="s">
        <v>388</v>
      </c>
      <c r="E57" s="5" t="s">
        <v>389</v>
      </c>
    </row>
    <row r="58" spans="1:5" ht="15" customHeight="1" x14ac:dyDescent="0.25">
      <c r="A58" s="5" t="s">
        <v>390</v>
      </c>
      <c r="B58" s="5" t="s">
        <v>391</v>
      </c>
      <c r="C58" s="10">
        <f>48*2</f>
        <v>96</v>
      </c>
      <c r="D58" s="5" t="s">
        <v>388</v>
      </c>
      <c r="E58" s="5" t="s">
        <v>392</v>
      </c>
    </row>
    <row r="59" spans="1:5" ht="26.25" customHeight="1" x14ac:dyDescent="0.25">
      <c r="A59" s="5" t="s">
        <v>390</v>
      </c>
      <c r="B59" s="5" t="s">
        <v>393</v>
      </c>
      <c r="C59" s="10" t="str">
        <f>IF($C$57&gt;=$C$58*1.5,"Sí (margen ≥1,5)","Revisar")</f>
        <v>Sí (margen ≥1,5)</v>
      </c>
      <c r="D59" s="5"/>
      <c r="E59" s="5"/>
    </row>
    <row r="60" spans="1:5" ht="15" customHeight="1" x14ac:dyDescent="0.25">
      <c r="A60" s="5" t="s">
        <v>394</v>
      </c>
      <c r="B60" s="5" t="s">
        <v>395</v>
      </c>
      <c r="C60" s="11">
        <v>4.4000000000000004</v>
      </c>
      <c r="D60" s="5"/>
      <c r="E60" s="5" t="s">
        <v>396</v>
      </c>
    </row>
    <row r="61" spans="1:5" ht="15" customHeight="1" x14ac:dyDescent="0.25">
      <c r="A61" s="5" t="s">
        <v>394</v>
      </c>
      <c r="B61" s="5" t="s">
        <v>397</v>
      </c>
      <c r="C61" s="10">
        <f>($C$60+1)/2+($C$60-1)/2*(1+12/1.7)^-0.5</f>
        <v>3.2988431670196561</v>
      </c>
      <c r="D61" s="5"/>
      <c r="E61" s="5" t="s">
        <v>398</v>
      </c>
    </row>
    <row r="62" spans="1:5" ht="15" customHeight="1" x14ac:dyDescent="0.25">
      <c r="A62" s="5" t="s">
        <v>394</v>
      </c>
      <c r="B62" s="5" t="s">
        <v>399</v>
      </c>
      <c r="C62" s="10">
        <f>SQRT($C$61)/0.2998</f>
        <v>6.0582781079062382</v>
      </c>
      <c r="D62" s="5" t="s">
        <v>400</v>
      </c>
      <c r="E62" s="5" t="s">
        <v>401</v>
      </c>
    </row>
    <row r="63" spans="1:5" ht="15" customHeight="1" x14ac:dyDescent="0.25">
      <c r="A63" s="5" t="s">
        <v>394</v>
      </c>
      <c r="B63" s="5" t="s">
        <v>402</v>
      </c>
      <c r="C63" s="8">
        <v>10</v>
      </c>
      <c r="D63" s="5" t="s">
        <v>316</v>
      </c>
      <c r="E63" s="5" t="s">
        <v>403</v>
      </c>
    </row>
    <row r="64" spans="1:5" ht="15" customHeight="1" x14ac:dyDescent="0.25">
      <c r="A64" s="5" t="s">
        <v>394</v>
      </c>
      <c r="B64" s="5" t="s">
        <v>404</v>
      </c>
      <c r="C64" s="10">
        <f>$C$62*$C$63</f>
        <v>60.582781079062386</v>
      </c>
      <c r="D64" s="5" t="s">
        <v>405</v>
      </c>
      <c r="E64" s="5"/>
    </row>
    <row r="65" spans="1:5" ht="15" customHeight="1" x14ac:dyDescent="0.25">
      <c r="A65" s="5" t="s">
        <v>394</v>
      </c>
      <c r="B65" s="5" t="s">
        <v>406</v>
      </c>
      <c r="C65" s="10">
        <f>$C$64/10000</f>
        <v>6.0582781079062389E-3</v>
      </c>
      <c r="D65" s="5"/>
      <c r="E65" s="5"/>
    </row>
    <row r="66" spans="1:5" ht="15" customHeight="1" x14ac:dyDescent="0.25">
      <c r="A66" s="5" t="s">
        <v>407</v>
      </c>
      <c r="B66" s="5" t="s">
        <v>408</v>
      </c>
      <c r="C66" s="12">
        <v>0.2104</v>
      </c>
      <c r="D66" s="5" t="s">
        <v>316</v>
      </c>
      <c r="E66" s="5" t="s">
        <v>409</v>
      </c>
    </row>
    <row r="67" spans="1:5" ht="15" customHeight="1" x14ac:dyDescent="0.25">
      <c r="A67" s="5" t="s">
        <v>407</v>
      </c>
      <c r="B67" s="5" t="s">
        <v>410</v>
      </c>
      <c r="C67" s="11">
        <v>0.35</v>
      </c>
      <c r="D67" s="5" t="s">
        <v>316</v>
      </c>
      <c r="E67" s="5" t="s">
        <v>112</v>
      </c>
    </row>
    <row r="68" spans="1:5" ht="15" customHeight="1" x14ac:dyDescent="0.25">
      <c r="A68" s="5" t="s">
        <v>407</v>
      </c>
      <c r="B68" s="5" t="s">
        <v>411</v>
      </c>
      <c r="C68" s="10">
        <f>87/SQRT($C$60+1.41)*LN(5.98*$C$66/(0.8*$C$67+0.035))</f>
        <v>49.984638918175861</v>
      </c>
      <c r="D68" s="5" t="s">
        <v>346</v>
      </c>
      <c r="E68" s="5" t="s">
        <v>412</v>
      </c>
    </row>
    <row r="69" spans="1:5" ht="15" customHeight="1" x14ac:dyDescent="0.25">
      <c r="A69" s="5" t="s">
        <v>145</v>
      </c>
      <c r="B69" s="5" t="s">
        <v>413</v>
      </c>
      <c r="C69" s="8">
        <v>50</v>
      </c>
      <c r="D69" s="5" t="s">
        <v>316</v>
      </c>
      <c r="E69" s="5" t="s">
        <v>414</v>
      </c>
    </row>
    <row r="70" spans="1:5" ht="15" customHeight="1" x14ac:dyDescent="0.25">
      <c r="A70" s="5" t="s">
        <v>145</v>
      </c>
      <c r="B70" s="5" t="s">
        <v>415</v>
      </c>
      <c r="C70" s="10">
        <f>4*PI()*0.0000001*($C$44/1000)/(2*PI()*$C$69/1000)*1000000</f>
        <v>0.48000000000000004</v>
      </c>
      <c r="D70" s="5" t="s">
        <v>416</v>
      </c>
      <c r="E70" s="5" t="s">
        <v>417</v>
      </c>
    </row>
    <row r="71" spans="1:5" ht="15" customHeight="1" x14ac:dyDescent="0.25">
      <c r="A71" s="5" t="s">
        <v>145</v>
      </c>
      <c r="B71" s="5" t="s">
        <v>418</v>
      </c>
      <c r="C71" s="10">
        <f>$C$70/30</f>
        <v>1.6E-2</v>
      </c>
      <c r="D71" s="5"/>
      <c r="E71" s="5"/>
    </row>
    <row r="72" spans="1:5" ht="15" customHeight="1" x14ac:dyDescent="0.25">
      <c r="A72" s="5" t="s">
        <v>150</v>
      </c>
      <c r="B72" s="5" t="s">
        <v>419</v>
      </c>
      <c r="C72" s="11">
        <v>2.5</v>
      </c>
      <c r="D72" s="5" t="s">
        <v>420</v>
      </c>
      <c r="E72" s="5" t="s">
        <v>421</v>
      </c>
    </row>
    <row r="73" spans="1:5" ht="15" customHeight="1" x14ac:dyDescent="0.25">
      <c r="A73" s="5" t="s">
        <v>150</v>
      </c>
      <c r="B73" s="5" t="s">
        <v>422</v>
      </c>
      <c r="C73" s="10">
        <f>$C$72*0.000001*48*3600</f>
        <v>0.43199999999999994</v>
      </c>
      <c r="D73" s="5" t="s">
        <v>423</v>
      </c>
      <c r="E73" s="5" t="s">
        <v>424</v>
      </c>
    </row>
    <row r="74" spans="1:5" x14ac:dyDescent="0.25">
      <c r="A74" s="1" t="s">
        <v>425</v>
      </c>
      <c r="B74" s="1" t="s">
        <v>426</v>
      </c>
      <c r="C74" s="1">
        <v>40</v>
      </c>
      <c r="D74" s="1" t="s">
        <v>346</v>
      </c>
      <c r="E74" s="1" t="s">
        <v>427</v>
      </c>
    </row>
    <row r="75" spans="1:5" x14ac:dyDescent="0.25">
      <c r="A75" s="1" t="s">
        <v>425</v>
      </c>
      <c r="B75" s="1" t="s">
        <v>428</v>
      </c>
      <c r="C75" s="1">
        <v>5</v>
      </c>
      <c r="D75" s="1" t="s">
        <v>331</v>
      </c>
      <c r="E75" s="1" t="s">
        <v>429</v>
      </c>
    </row>
    <row r="76" spans="1:5" x14ac:dyDescent="0.25">
      <c r="A76" s="1" t="s">
        <v>425</v>
      </c>
      <c r="B76" s="1" t="s">
        <v>430</v>
      </c>
      <c r="C76" s="1">
        <v>25</v>
      </c>
      <c r="D76" s="1" t="s">
        <v>377</v>
      </c>
      <c r="E76" s="1" t="s">
        <v>187</v>
      </c>
    </row>
    <row r="77" spans="1:5" x14ac:dyDescent="0.25">
      <c r="A77" s="1" t="s">
        <v>425</v>
      </c>
      <c r="B77" s="1" t="s">
        <v>431</v>
      </c>
      <c r="C77" s="1">
        <f>4*$C$74*(2*PI()*$C$76*1000000)^2*(($C$75+$C$22)*0.000000000001)^2*1000</f>
        <v>0.66718525751364066</v>
      </c>
      <c r="D77" s="1" t="s">
        <v>432</v>
      </c>
      <c r="E77" s="1" t="s">
        <v>433</v>
      </c>
    </row>
    <row r="78" spans="1:5" x14ac:dyDescent="0.25">
      <c r="A78" s="1" t="s">
        <v>425</v>
      </c>
      <c r="B78" s="1" t="s">
        <v>434</v>
      </c>
      <c r="C78" s="1">
        <v>1.5</v>
      </c>
      <c r="D78" s="1" t="s">
        <v>432</v>
      </c>
      <c r="E78" s="1" t="s">
        <v>435</v>
      </c>
    </row>
    <row r="79" spans="1:5" x14ac:dyDescent="0.25">
      <c r="A79" s="1" t="s">
        <v>425</v>
      </c>
      <c r="B79" s="1" t="s">
        <v>436</v>
      </c>
      <c r="C79" s="1">
        <f>$C$78/$C$77</f>
        <v>2.248251116324063</v>
      </c>
      <c r="E79" s="1" t="s">
        <v>437</v>
      </c>
    </row>
    <row r="80" spans="1:5" x14ac:dyDescent="0.25">
      <c r="A80" s="1" t="s">
        <v>425</v>
      </c>
      <c r="B80" s="1" t="s">
        <v>438</v>
      </c>
      <c r="C80" s="1" t="str">
        <f>IF($C$79&gt;1,"Sí","No")</f>
        <v>Sí</v>
      </c>
    </row>
    <row r="81" spans="1:5" x14ac:dyDescent="0.25">
      <c r="A81" s="1" t="s">
        <v>425</v>
      </c>
      <c r="B81" s="1" t="s">
        <v>439</v>
      </c>
      <c r="C81" s="1">
        <f>4*50*(2*PI()*25000000)^2*((7+18)*0.000000000001)^2*1000</f>
        <v>3.0842513753404237</v>
      </c>
      <c r="D81" s="1" t="s">
        <v>432</v>
      </c>
      <c r="E81" s="1" t="s">
        <v>440</v>
      </c>
    </row>
    <row r="83" spans="1:5" x14ac:dyDescent="0.25">
      <c r="A83" s="1" t="s">
        <v>237</v>
      </c>
      <c r="B83" s="1" t="s">
        <v>441</v>
      </c>
      <c r="C83" s="1">
        <v>30</v>
      </c>
      <c r="D83" s="1" t="s">
        <v>442</v>
      </c>
      <c r="E83" s="1" t="s">
        <v>443</v>
      </c>
    </row>
    <row r="84" spans="1:5" x14ac:dyDescent="0.25">
      <c r="A84" s="1" t="s">
        <v>237</v>
      </c>
      <c r="B84" s="1" t="s">
        <v>444</v>
      </c>
      <c r="C84" s="1">
        <v>100</v>
      </c>
      <c r="D84" s="1" t="s">
        <v>372</v>
      </c>
      <c r="E84" s="1" t="s">
        <v>445</v>
      </c>
    </row>
    <row r="85" spans="1:5" x14ac:dyDescent="0.25">
      <c r="A85" s="1" t="s">
        <v>237</v>
      </c>
      <c r="B85" s="1" t="s">
        <v>446</v>
      </c>
      <c r="C85" s="1">
        <f>C83*C84/1000</f>
        <v>3</v>
      </c>
      <c r="D85" s="1" t="s">
        <v>382</v>
      </c>
      <c r="E85" s="1" t="s">
        <v>447</v>
      </c>
    </row>
    <row r="86" spans="1:5" x14ac:dyDescent="0.25">
      <c r="A86" s="1" t="s">
        <v>239</v>
      </c>
      <c r="B86" s="1" t="s">
        <v>448</v>
      </c>
      <c r="C86" s="1">
        <v>0.72</v>
      </c>
      <c r="D86" s="1" t="s">
        <v>284</v>
      </c>
      <c r="E86" s="1" t="s">
        <v>449</v>
      </c>
    </row>
    <row r="87" spans="1:5" x14ac:dyDescent="0.25">
      <c r="A87" s="1" t="s">
        <v>239</v>
      </c>
      <c r="B87" s="1" t="s">
        <v>450</v>
      </c>
      <c r="C87" s="1">
        <v>2</v>
      </c>
      <c r="E87" s="1" t="s">
        <v>451</v>
      </c>
    </row>
    <row r="88" spans="1:5" x14ac:dyDescent="0.25">
      <c r="A88" s="1" t="s">
        <v>239</v>
      </c>
      <c r="B88" s="1" t="s">
        <v>452</v>
      </c>
      <c r="C88" s="1">
        <v>0.52</v>
      </c>
      <c r="D88" s="1" t="s">
        <v>346</v>
      </c>
      <c r="E88" s="1" t="s">
        <v>453</v>
      </c>
    </row>
    <row r="89" spans="1:5" x14ac:dyDescent="0.25">
      <c r="A89" s="1" t="s">
        <v>239</v>
      </c>
      <c r="B89" s="1" t="s">
        <v>454</v>
      </c>
      <c r="C89" s="1">
        <f>C86*C87*C88</f>
        <v>0.74880000000000002</v>
      </c>
      <c r="D89" s="1" t="s">
        <v>327</v>
      </c>
      <c r="E89" s="1" t="s">
        <v>455</v>
      </c>
    </row>
    <row r="90" spans="1:5" x14ac:dyDescent="0.25">
      <c r="A90" s="1" t="s">
        <v>239</v>
      </c>
      <c r="B90" s="1" t="s">
        <v>456</v>
      </c>
      <c r="C90" s="1">
        <f>C86*C87/300</f>
        <v>4.7999999999999996E-3</v>
      </c>
      <c r="D90" s="1" t="s">
        <v>55</v>
      </c>
      <c r="E90" s="1" t="s">
        <v>457</v>
      </c>
    </row>
    <row r="91" spans="1:5" x14ac:dyDescent="0.25">
      <c r="A91" s="1" t="s">
        <v>238</v>
      </c>
      <c r="B91" s="1" t="s">
        <v>370</v>
      </c>
      <c r="C91" s="1">
        <v>47</v>
      </c>
      <c r="D91" s="1" t="s">
        <v>346</v>
      </c>
      <c r="E91" s="1" t="s">
        <v>458</v>
      </c>
    </row>
    <row r="92" spans="1:5" x14ac:dyDescent="0.25">
      <c r="A92" s="1" t="s">
        <v>238</v>
      </c>
      <c r="B92" s="1" t="s">
        <v>371</v>
      </c>
      <c r="C92" s="1">
        <v>1</v>
      </c>
      <c r="D92" s="1" t="s">
        <v>459</v>
      </c>
    </row>
    <row r="93" spans="1:5" x14ac:dyDescent="0.25">
      <c r="A93" s="1" t="s">
        <v>238</v>
      </c>
      <c r="B93" s="1" t="s">
        <v>373</v>
      </c>
      <c r="C93" s="1">
        <f>1/(2*PI()*C91*C92*0.000001)</f>
        <v>3386.2753849339438</v>
      </c>
      <c r="D93" s="1" t="s">
        <v>374</v>
      </c>
      <c r="E93" s="1" t="s">
        <v>460</v>
      </c>
    </row>
    <row r="94" spans="1:5" x14ac:dyDescent="0.25">
      <c r="A94" s="1" t="s">
        <v>219</v>
      </c>
      <c r="B94" s="1" t="s">
        <v>461</v>
      </c>
      <c r="C94" s="1">
        <v>50</v>
      </c>
      <c r="D94" s="1" t="s">
        <v>346</v>
      </c>
      <c r="E94" s="1" t="s">
        <v>462</v>
      </c>
    </row>
    <row r="95" spans="1:5" x14ac:dyDescent="0.25">
      <c r="A95" s="1" t="s">
        <v>219</v>
      </c>
      <c r="B95" s="1" t="s">
        <v>463</v>
      </c>
      <c r="C95" s="1">
        <v>28</v>
      </c>
      <c r="D95" s="1" t="s">
        <v>346</v>
      </c>
      <c r="E95" s="1" t="s">
        <v>464</v>
      </c>
    </row>
    <row r="96" spans="1:5" x14ac:dyDescent="0.25">
      <c r="A96" s="1" t="s">
        <v>219</v>
      </c>
      <c r="B96" s="1" t="s">
        <v>465</v>
      </c>
      <c r="C96" s="1">
        <f>C94-C95</f>
        <v>22</v>
      </c>
      <c r="D96" s="1" t="s">
        <v>346</v>
      </c>
      <c r="E96" s="1" t="s">
        <v>466</v>
      </c>
    </row>
    <row r="97" spans="1:5" x14ac:dyDescent="0.25">
      <c r="A97" s="1" t="s">
        <v>467</v>
      </c>
      <c r="B97" s="1" t="s">
        <v>468</v>
      </c>
      <c r="C97" s="1">
        <f>3.3/10</f>
        <v>0.32999999999999996</v>
      </c>
      <c r="D97" s="1" t="s">
        <v>284</v>
      </c>
      <c r="E97" s="1" t="s">
        <v>469</v>
      </c>
    </row>
    <row r="98" spans="1:5" x14ac:dyDescent="0.25">
      <c r="A98" s="1" t="s">
        <v>467</v>
      </c>
      <c r="B98" s="1" t="s">
        <v>470</v>
      </c>
      <c r="C98" s="1">
        <f>3.3^2/10</f>
        <v>1.089</v>
      </c>
      <c r="D98" s="1" t="s">
        <v>364</v>
      </c>
      <c r="E98" s="1" t="s">
        <v>471</v>
      </c>
    </row>
    <row r="99" spans="1:5" x14ac:dyDescent="0.25">
      <c r="A99" s="1" t="s">
        <v>472</v>
      </c>
      <c r="B99" s="1" t="s">
        <v>473</v>
      </c>
      <c r="C99" s="1">
        <f>3.3/100*1000</f>
        <v>33</v>
      </c>
      <c r="D99" s="1" t="s">
        <v>474</v>
      </c>
      <c r="E99" s="1" t="s">
        <v>475</v>
      </c>
    </row>
    <row r="100" spans="1:5" x14ac:dyDescent="0.25">
      <c r="A100" s="1" t="s">
        <v>476</v>
      </c>
      <c r="B100" s="1" t="s">
        <v>477</v>
      </c>
      <c r="C100" s="1">
        <v>100</v>
      </c>
      <c r="D100" s="1" t="s">
        <v>364</v>
      </c>
      <c r="E100" s="1" t="s">
        <v>478</v>
      </c>
    </row>
    <row r="101" spans="1:5" x14ac:dyDescent="0.25">
      <c r="A101" s="1" t="s">
        <v>476</v>
      </c>
      <c r="B101" s="1" t="s">
        <v>479</v>
      </c>
      <c r="C101" s="1">
        <f>C47/C100</f>
        <v>6.7680000000000004E-2</v>
      </c>
      <c r="D101" s="1" t="s">
        <v>55</v>
      </c>
      <c r="E101" s="1" t="s">
        <v>480</v>
      </c>
    </row>
    <row r="102" spans="1:5" x14ac:dyDescent="0.25">
      <c r="A102" s="1" t="s">
        <v>481</v>
      </c>
      <c r="B102" s="1" t="s">
        <v>482</v>
      </c>
      <c r="C102" s="1">
        <f>3.3/16</f>
        <v>0.20624999999999999</v>
      </c>
      <c r="D102" s="1" t="s">
        <v>55</v>
      </c>
      <c r="E102" s="1" t="s">
        <v>483</v>
      </c>
    </row>
    <row r="103" spans="1:5" x14ac:dyDescent="0.25">
      <c r="A103" s="1" t="s">
        <v>481</v>
      </c>
      <c r="B103" s="1" t="s">
        <v>484</v>
      </c>
      <c r="C103" s="1">
        <f>5/16</f>
        <v>0.3125</v>
      </c>
      <c r="D103" s="1" t="s">
        <v>55</v>
      </c>
      <c r="E103" s="1" t="s">
        <v>485</v>
      </c>
    </row>
    <row r="104" spans="1:5" x14ac:dyDescent="0.25">
      <c r="A104" s="1" t="s">
        <v>481</v>
      </c>
      <c r="B104" s="1" t="s">
        <v>486</v>
      </c>
      <c r="C104" s="1">
        <f>1.2/10</f>
        <v>0.12</v>
      </c>
      <c r="D104" s="1" t="s">
        <v>55</v>
      </c>
      <c r="E104" s="1" t="s">
        <v>487</v>
      </c>
    </row>
    <row r="105" spans="1:5" x14ac:dyDescent="0.25">
      <c r="A105" s="1" t="s">
        <v>481</v>
      </c>
      <c r="B105" s="1" t="s">
        <v>488</v>
      </c>
      <c r="C105" s="1" t="s">
        <v>489</v>
      </c>
      <c r="E105" s="1" t="s">
        <v>490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2" width="14" style="1" customWidth="1"/>
    <col min="3" max="3" width="60" style="1" customWidth="1"/>
    <col min="4" max="4" width="20" style="1" customWidth="1"/>
    <col min="5" max="5" width="50" style="1" customWidth="1"/>
    <col min="6" max="6" width="40" style="1" customWidth="1"/>
    <col min="7" max="7" width="34" style="1" customWidth="1"/>
  </cols>
  <sheetData>
    <row r="1" spans="1:7" ht="15" customHeight="1" x14ac:dyDescent="0.25">
      <c r="A1" s="4" t="s">
        <v>58</v>
      </c>
      <c r="B1" s="4" t="s">
        <v>491</v>
      </c>
      <c r="C1" s="4" t="s">
        <v>492</v>
      </c>
      <c r="D1" s="4" t="s">
        <v>493</v>
      </c>
      <c r="E1" s="4" t="s">
        <v>494</v>
      </c>
      <c r="F1" s="4" t="s">
        <v>495</v>
      </c>
      <c r="G1" s="4" t="s">
        <v>496</v>
      </c>
    </row>
    <row r="2" spans="1:7" ht="39" customHeight="1" x14ac:dyDescent="0.25">
      <c r="A2" s="5" t="s">
        <v>325</v>
      </c>
      <c r="B2" s="5" t="s">
        <v>497</v>
      </c>
      <c r="C2" s="5" t="s">
        <v>498</v>
      </c>
      <c r="D2" s="5" t="s">
        <v>499</v>
      </c>
      <c r="E2" s="5" t="s">
        <v>500</v>
      </c>
      <c r="F2" s="5" t="s">
        <v>501</v>
      </c>
      <c r="G2" s="5" t="s">
        <v>502</v>
      </c>
    </row>
    <row r="3" spans="1:7" ht="26.25" customHeight="1" x14ac:dyDescent="0.25">
      <c r="A3" s="5" t="s">
        <v>503</v>
      </c>
      <c r="B3" s="5" t="s">
        <v>504</v>
      </c>
      <c r="C3" s="5" t="s">
        <v>505</v>
      </c>
      <c r="D3" s="5" t="s">
        <v>499</v>
      </c>
      <c r="E3" s="5" t="s">
        <v>506</v>
      </c>
      <c r="F3" s="5" t="s">
        <v>507</v>
      </c>
      <c r="G3" s="5" t="s">
        <v>508</v>
      </c>
    </row>
    <row r="4" spans="1:7" ht="26.25" customHeight="1" x14ac:dyDescent="0.25">
      <c r="A4" s="5" t="s">
        <v>509</v>
      </c>
      <c r="B4" s="5" t="s">
        <v>510</v>
      </c>
      <c r="C4" s="5" t="s">
        <v>511</v>
      </c>
      <c r="D4" s="5" t="s">
        <v>512</v>
      </c>
      <c r="E4" s="5" t="s">
        <v>513</v>
      </c>
      <c r="F4" s="5" t="s">
        <v>514</v>
      </c>
      <c r="G4" s="5" t="s">
        <v>515</v>
      </c>
    </row>
    <row r="5" spans="1:7" ht="39" customHeight="1" x14ac:dyDescent="0.25">
      <c r="A5" s="5" t="s">
        <v>516</v>
      </c>
      <c r="B5" s="5" t="s">
        <v>517</v>
      </c>
      <c r="C5" s="5" t="s">
        <v>518</v>
      </c>
      <c r="D5" s="5" t="s">
        <v>519</v>
      </c>
      <c r="E5" s="5" t="s">
        <v>520</v>
      </c>
      <c r="F5" s="5" t="s">
        <v>521</v>
      </c>
      <c r="G5" s="5" t="s">
        <v>522</v>
      </c>
    </row>
    <row r="6" spans="1:7" ht="39" customHeight="1" x14ac:dyDescent="0.25">
      <c r="A6" s="5" t="s">
        <v>523</v>
      </c>
      <c r="B6" s="5" t="s">
        <v>517</v>
      </c>
      <c r="C6" s="5" t="s">
        <v>524</v>
      </c>
      <c r="D6" s="5" t="s">
        <v>525</v>
      </c>
      <c r="E6" s="5" t="s">
        <v>526</v>
      </c>
      <c r="F6" s="5" t="s">
        <v>527</v>
      </c>
      <c r="G6" s="5" t="s">
        <v>528</v>
      </c>
    </row>
    <row r="7" spans="1:7" ht="26.25" customHeight="1" x14ac:dyDescent="0.25">
      <c r="A7" s="5" t="s">
        <v>529</v>
      </c>
      <c r="B7" s="5" t="s">
        <v>19</v>
      </c>
      <c r="C7" s="5" t="s">
        <v>530</v>
      </c>
      <c r="D7" s="5" t="s">
        <v>525</v>
      </c>
      <c r="E7" s="5" t="s">
        <v>531</v>
      </c>
      <c r="F7" s="5" t="s">
        <v>532</v>
      </c>
      <c r="G7" s="5" t="s">
        <v>528</v>
      </c>
    </row>
    <row r="8" spans="1:7" ht="39" customHeight="1" x14ac:dyDescent="0.25">
      <c r="A8" s="5" t="s">
        <v>533</v>
      </c>
      <c r="B8" s="5" t="s">
        <v>517</v>
      </c>
      <c r="C8" s="5" t="s">
        <v>534</v>
      </c>
      <c r="D8" s="5" t="s">
        <v>512</v>
      </c>
      <c r="E8" s="5" t="s">
        <v>535</v>
      </c>
      <c r="F8" s="5" t="s">
        <v>536</v>
      </c>
      <c r="G8" s="5" t="s">
        <v>537</v>
      </c>
    </row>
    <row r="9" spans="1:7" ht="39" customHeight="1" x14ac:dyDescent="0.25">
      <c r="A9" s="5" t="s">
        <v>538</v>
      </c>
      <c r="B9" s="5" t="s">
        <v>123</v>
      </c>
      <c r="C9" s="5" t="s">
        <v>539</v>
      </c>
      <c r="D9" s="5" t="s">
        <v>499</v>
      </c>
      <c r="E9" s="5" t="s">
        <v>540</v>
      </c>
      <c r="F9" s="5" t="s">
        <v>541</v>
      </c>
      <c r="G9" s="5" t="s">
        <v>542</v>
      </c>
    </row>
    <row r="10" spans="1:7" ht="26.25" customHeight="1" x14ac:dyDescent="0.25">
      <c r="A10" s="5" t="s">
        <v>543</v>
      </c>
      <c r="B10" s="5" t="s">
        <v>123</v>
      </c>
      <c r="C10" s="5" t="s">
        <v>544</v>
      </c>
      <c r="D10" s="5" t="s">
        <v>499</v>
      </c>
      <c r="E10" s="5" t="s">
        <v>545</v>
      </c>
      <c r="F10" s="5" t="s">
        <v>546</v>
      </c>
      <c r="G10" s="5" t="s">
        <v>508</v>
      </c>
    </row>
    <row r="11" spans="1:7" ht="26.25" customHeight="1" x14ac:dyDescent="0.25">
      <c r="A11" s="5" t="s">
        <v>547</v>
      </c>
      <c r="B11" s="5" t="s">
        <v>123</v>
      </c>
      <c r="C11" s="5" t="s">
        <v>548</v>
      </c>
      <c r="D11" s="5" t="s">
        <v>499</v>
      </c>
      <c r="E11" s="5" t="s">
        <v>549</v>
      </c>
      <c r="F11" s="5" t="s">
        <v>550</v>
      </c>
      <c r="G11" s="5" t="s">
        <v>537</v>
      </c>
    </row>
    <row r="12" spans="1:7" ht="39" customHeight="1" x14ac:dyDescent="0.25">
      <c r="A12" s="5" t="s">
        <v>551</v>
      </c>
      <c r="B12" s="5" t="s">
        <v>552</v>
      </c>
      <c r="C12" s="5" t="s">
        <v>553</v>
      </c>
      <c r="D12" s="5" t="s">
        <v>499</v>
      </c>
      <c r="E12" s="5" t="s">
        <v>554</v>
      </c>
      <c r="F12" s="5" t="s">
        <v>555</v>
      </c>
      <c r="G12" s="5" t="s">
        <v>508</v>
      </c>
    </row>
    <row r="13" spans="1:7" ht="26.25" customHeight="1" x14ac:dyDescent="0.25">
      <c r="A13" s="5" t="s">
        <v>556</v>
      </c>
      <c r="B13" s="5" t="s">
        <v>557</v>
      </c>
      <c r="C13" s="5" t="s">
        <v>558</v>
      </c>
      <c r="D13" s="5" t="s">
        <v>559</v>
      </c>
      <c r="E13" s="5" t="s">
        <v>560</v>
      </c>
      <c r="F13" s="5" t="s">
        <v>561</v>
      </c>
      <c r="G13" s="5" t="s">
        <v>562</v>
      </c>
    </row>
    <row r="14" spans="1:7" ht="15" customHeight="1" x14ac:dyDescent="0.25">
      <c r="A14" s="5" t="s">
        <v>563</v>
      </c>
      <c r="B14" s="5" t="s">
        <v>564</v>
      </c>
      <c r="C14" s="5" t="s">
        <v>565</v>
      </c>
      <c r="D14" s="5" t="s">
        <v>499</v>
      </c>
      <c r="E14" s="5" t="s">
        <v>566</v>
      </c>
      <c r="F14" s="5" t="s">
        <v>567</v>
      </c>
      <c r="G14" s="5" t="s">
        <v>528</v>
      </c>
    </row>
    <row r="15" spans="1:7" ht="39" customHeight="1" x14ac:dyDescent="0.25">
      <c r="A15" s="5" t="s">
        <v>568</v>
      </c>
      <c r="B15" s="5" t="s">
        <v>557</v>
      </c>
      <c r="C15" s="5" t="s">
        <v>569</v>
      </c>
      <c r="D15" s="5" t="s">
        <v>570</v>
      </c>
      <c r="E15" s="5" t="s">
        <v>571</v>
      </c>
      <c r="F15" s="5" t="s">
        <v>572</v>
      </c>
      <c r="G15" s="5" t="s">
        <v>573</v>
      </c>
    </row>
    <row r="16" spans="1:7" ht="26.25" customHeight="1" x14ac:dyDescent="0.25">
      <c r="A16" s="5" t="s">
        <v>574</v>
      </c>
      <c r="B16" s="5" t="s">
        <v>517</v>
      </c>
      <c r="C16" s="5" t="s">
        <v>575</v>
      </c>
      <c r="D16" s="5" t="s">
        <v>570</v>
      </c>
      <c r="E16" s="5" t="s">
        <v>576</v>
      </c>
      <c r="F16" s="5" t="s">
        <v>577</v>
      </c>
      <c r="G16" s="5" t="s">
        <v>578</v>
      </c>
    </row>
    <row r="17" spans="1:7" ht="39" customHeight="1" x14ac:dyDescent="0.25">
      <c r="A17" s="5" t="s">
        <v>414</v>
      </c>
      <c r="B17" s="5" t="s">
        <v>19</v>
      </c>
      <c r="C17" s="5" t="s">
        <v>579</v>
      </c>
      <c r="D17" s="5" t="s">
        <v>499</v>
      </c>
      <c r="E17" s="5" t="s">
        <v>580</v>
      </c>
      <c r="F17" s="5" t="s">
        <v>581</v>
      </c>
      <c r="G17" s="5" t="s">
        <v>537</v>
      </c>
    </row>
    <row r="18" spans="1:7" ht="26.25" customHeight="1" x14ac:dyDescent="0.25">
      <c r="A18" s="5" t="s">
        <v>582</v>
      </c>
      <c r="B18" s="5" t="s">
        <v>163</v>
      </c>
      <c r="C18" s="5" t="s">
        <v>583</v>
      </c>
      <c r="D18" s="5" t="s">
        <v>499</v>
      </c>
      <c r="E18" s="5" t="s">
        <v>584</v>
      </c>
      <c r="F18" s="5" t="s">
        <v>585</v>
      </c>
      <c r="G18" s="5" t="s">
        <v>528</v>
      </c>
    </row>
    <row r="19" spans="1:7" ht="39" customHeight="1" x14ac:dyDescent="0.25">
      <c r="A19" s="5" t="s">
        <v>586</v>
      </c>
      <c r="B19" s="5" t="s">
        <v>19</v>
      </c>
      <c r="C19" s="5" t="s">
        <v>587</v>
      </c>
      <c r="D19" s="5" t="s">
        <v>499</v>
      </c>
      <c r="E19" s="5" t="s">
        <v>588</v>
      </c>
      <c r="F19" s="5" t="s">
        <v>589</v>
      </c>
      <c r="G19" s="5" t="s">
        <v>528</v>
      </c>
    </row>
    <row r="20" spans="1:7" ht="15" customHeight="1" x14ac:dyDescent="0.25">
      <c r="A20" s="5" t="s">
        <v>590</v>
      </c>
      <c r="B20" s="5" t="s">
        <v>163</v>
      </c>
      <c r="C20" s="5" t="s">
        <v>591</v>
      </c>
      <c r="D20" s="5" t="s">
        <v>525</v>
      </c>
      <c r="E20" s="5" t="s">
        <v>592</v>
      </c>
      <c r="F20" s="5" t="s">
        <v>593</v>
      </c>
      <c r="G20" s="5" t="s">
        <v>537</v>
      </c>
    </row>
    <row r="21" spans="1:7" ht="26.25" customHeight="1" x14ac:dyDescent="0.25">
      <c r="A21" s="5" t="s">
        <v>594</v>
      </c>
      <c r="B21" s="5" t="s">
        <v>595</v>
      </c>
      <c r="C21" s="5" t="s">
        <v>596</v>
      </c>
      <c r="D21" s="5" t="s">
        <v>525</v>
      </c>
      <c r="E21" s="5" t="s">
        <v>597</v>
      </c>
      <c r="F21" s="5" t="s">
        <v>598</v>
      </c>
      <c r="G21" s="5" t="s">
        <v>599</v>
      </c>
    </row>
    <row r="22" spans="1:7" ht="26.25" customHeight="1" x14ac:dyDescent="0.25">
      <c r="A22" s="5" t="s">
        <v>600</v>
      </c>
      <c r="B22" s="5" t="s">
        <v>256</v>
      </c>
      <c r="C22" s="5" t="s">
        <v>601</v>
      </c>
      <c r="D22" s="5" t="s">
        <v>512</v>
      </c>
      <c r="E22" s="5" t="s">
        <v>602</v>
      </c>
      <c r="F22" s="5" t="s">
        <v>603</v>
      </c>
      <c r="G22" s="5" t="s">
        <v>604</v>
      </c>
    </row>
    <row r="23" spans="1:7" ht="39" customHeight="1" x14ac:dyDescent="0.25">
      <c r="A23" s="5" t="s">
        <v>605</v>
      </c>
      <c r="B23" s="5" t="s">
        <v>175</v>
      </c>
      <c r="C23" s="5" t="s">
        <v>606</v>
      </c>
      <c r="D23" s="5" t="s">
        <v>607</v>
      </c>
      <c r="E23" s="5" t="s">
        <v>608</v>
      </c>
      <c r="F23" s="5" t="s">
        <v>609</v>
      </c>
      <c r="G23" s="5" t="s">
        <v>604</v>
      </c>
    </row>
    <row r="24" spans="1:7" ht="39" customHeight="1" x14ac:dyDescent="0.25">
      <c r="A24" s="5" t="s">
        <v>610</v>
      </c>
      <c r="B24" s="5" t="s">
        <v>611</v>
      </c>
      <c r="C24" s="5" t="s">
        <v>612</v>
      </c>
      <c r="D24" s="5" t="s">
        <v>525</v>
      </c>
      <c r="E24" s="5" t="s">
        <v>613</v>
      </c>
      <c r="F24" s="5" t="s">
        <v>598</v>
      </c>
      <c r="G24" s="5" t="s">
        <v>614</v>
      </c>
    </row>
    <row r="25" spans="1:7" ht="26.25" customHeight="1" x14ac:dyDescent="0.25">
      <c r="A25" s="5" t="s">
        <v>615</v>
      </c>
      <c r="B25" s="5" t="s">
        <v>616</v>
      </c>
      <c r="C25" s="5" t="s">
        <v>617</v>
      </c>
      <c r="D25" s="5" t="s">
        <v>499</v>
      </c>
      <c r="E25" s="5" t="s">
        <v>618</v>
      </c>
      <c r="F25" s="5" t="s">
        <v>619</v>
      </c>
      <c r="G25" s="5" t="s">
        <v>537</v>
      </c>
    </row>
    <row r="26" spans="1:7" ht="39" customHeight="1" x14ac:dyDescent="0.25">
      <c r="A26" s="5" t="s">
        <v>620</v>
      </c>
      <c r="B26" s="5" t="s">
        <v>621</v>
      </c>
      <c r="C26" s="5" t="s">
        <v>622</v>
      </c>
      <c r="D26" s="5" t="s">
        <v>623</v>
      </c>
      <c r="E26" s="5" t="s">
        <v>624</v>
      </c>
      <c r="F26" s="5" t="s">
        <v>625</v>
      </c>
      <c r="G26" s="5" t="s">
        <v>578</v>
      </c>
    </row>
    <row r="27" spans="1:7" ht="26.25" customHeight="1" x14ac:dyDescent="0.25">
      <c r="A27" s="5" t="s">
        <v>626</v>
      </c>
      <c r="B27" s="5" t="s">
        <v>621</v>
      </c>
      <c r="C27" s="5" t="s">
        <v>627</v>
      </c>
      <c r="D27" s="5" t="s">
        <v>570</v>
      </c>
      <c r="E27" s="5" t="s">
        <v>628</v>
      </c>
      <c r="F27" s="5" t="s">
        <v>629</v>
      </c>
      <c r="G27" s="5" t="s">
        <v>630</v>
      </c>
    </row>
    <row r="28" spans="1:7" ht="26.25" customHeight="1" x14ac:dyDescent="0.25">
      <c r="A28" s="5" t="s">
        <v>631</v>
      </c>
      <c r="B28" s="5" t="s">
        <v>621</v>
      </c>
      <c r="C28" s="5" t="s">
        <v>632</v>
      </c>
      <c r="D28" s="5" t="s">
        <v>633</v>
      </c>
      <c r="E28" s="5" t="s">
        <v>634</v>
      </c>
      <c r="F28" s="5" t="s">
        <v>635</v>
      </c>
      <c r="G28" s="5" t="s">
        <v>578</v>
      </c>
    </row>
    <row r="29" spans="1:7" ht="26.25" customHeight="1" x14ac:dyDescent="0.25">
      <c r="A29" s="5" t="s">
        <v>636</v>
      </c>
      <c r="B29" s="5" t="s">
        <v>621</v>
      </c>
      <c r="C29" s="5" t="s">
        <v>637</v>
      </c>
      <c r="D29" s="5" t="s">
        <v>525</v>
      </c>
      <c r="E29" s="5" t="s">
        <v>638</v>
      </c>
      <c r="F29" s="5" t="s">
        <v>639</v>
      </c>
      <c r="G29" s="5" t="s">
        <v>578</v>
      </c>
    </row>
    <row r="30" spans="1:7" ht="39" customHeight="1" x14ac:dyDescent="0.25">
      <c r="A30" s="5" t="s">
        <v>640</v>
      </c>
      <c r="B30" s="5" t="s">
        <v>621</v>
      </c>
      <c r="C30" s="5" t="s">
        <v>641</v>
      </c>
      <c r="D30" s="5" t="s">
        <v>642</v>
      </c>
      <c r="E30" s="5" t="s">
        <v>643</v>
      </c>
      <c r="F30" s="5" t="s">
        <v>644</v>
      </c>
      <c r="G30" s="5" t="s">
        <v>645</v>
      </c>
    </row>
    <row r="31" spans="1:7" ht="39" customHeight="1" x14ac:dyDescent="0.25">
      <c r="A31" s="5" t="s">
        <v>646</v>
      </c>
      <c r="B31" s="5" t="s">
        <v>38</v>
      </c>
      <c r="C31" s="5" t="s">
        <v>647</v>
      </c>
      <c r="D31" s="5" t="s">
        <v>512</v>
      </c>
      <c r="E31" s="5" t="s">
        <v>648</v>
      </c>
      <c r="F31" s="5" t="s">
        <v>649</v>
      </c>
      <c r="G31" s="5" t="s">
        <v>528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4" style="1" customWidth="1"/>
    <col min="2" max="2" width="60" style="1" customWidth="1"/>
    <col min="3" max="3" width="50" style="1" customWidth="1"/>
  </cols>
  <sheetData>
    <row r="1" spans="1:3" ht="15" customHeight="1" x14ac:dyDescent="0.25">
      <c r="A1" s="4" t="s">
        <v>278</v>
      </c>
      <c r="B1" s="4" t="s">
        <v>650</v>
      </c>
      <c r="C1" s="4" t="s">
        <v>651</v>
      </c>
    </row>
    <row r="2" spans="1:3" ht="15" customHeight="1" x14ac:dyDescent="0.25">
      <c r="A2" s="5" t="s">
        <v>652</v>
      </c>
      <c r="B2" s="5" t="s">
        <v>653</v>
      </c>
      <c r="C2" s="5" t="s">
        <v>654</v>
      </c>
    </row>
    <row r="3" spans="1:3" ht="15" customHeight="1" x14ac:dyDescent="0.25">
      <c r="A3" s="5" t="s">
        <v>655</v>
      </c>
      <c r="B3" s="5" t="s">
        <v>656</v>
      </c>
      <c r="C3" s="5"/>
    </row>
    <row r="4" spans="1:3" ht="15" customHeight="1" x14ac:dyDescent="0.25">
      <c r="A4" s="5" t="s">
        <v>657</v>
      </c>
      <c r="B4" s="5" t="s">
        <v>658</v>
      </c>
      <c r="C4" s="5" t="s">
        <v>659</v>
      </c>
    </row>
    <row r="5" spans="1:3" ht="15" customHeight="1" x14ac:dyDescent="0.25">
      <c r="A5" s="5" t="s">
        <v>660</v>
      </c>
      <c r="B5" s="5" t="s">
        <v>661</v>
      </c>
      <c r="C5" s="5" t="s">
        <v>662</v>
      </c>
    </row>
    <row r="6" spans="1:3" ht="15" customHeight="1" x14ac:dyDescent="0.25">
      <c r="A6" s="5" t="s">
        <v>663</v>
      </c>
      <c r="B6" s="5" t="s">
        <v>664</v>
      </c>
      <c r="C6" s="5" t="s">
        <v>665</v>
      </c>
    </row>
    <row r="7" spans="1:3" ht="15" customHeight="1" x14ac:dyDescent="0.25">
      <c r="A7" s="5" t="s">
        <v>666</v>
      </c>
      <c r="B7" s="5" t="s">
        <v>667</v>
      </c>
      <c r="C7" s="5" t="s">
        <v>668</v>
      </c>
    </row>
    <row r="8" spans="1:3" ht="15" customHeight="1" x14ac:dyDescent="0.25">
      <c r="A8" s="5" t="s">
        <v>669</v>
      </c>
      <c r="B8" s="5" t="s">
        <v>670</v>
      </c>
      <c r="C8" s="5" t="s">
        <v>671</v>
      </c>
    </row>
    <row r="9" spans="1:3" ht="15" customHeight="1" x14ac:dyDescent="0.25">
      <c r="A9" s="5" t="s">
        <v>407</v>
      </c>
      <c r="B9" s="5" t="s">
        <v>672</v>
      </c>
      <c r="C9" s="5" t="s">
        <v>673</v>
      </c>
    </row>
    <row r="10" spans="1:3" ht="15" customHeight="1" x14ac:dyDescent="0.25">
      <c r="A10" s="5" t="s">
        <v>674</v>
      </c>
      <c r="B10" s="5" t="s">
        <v>675</v>
      </c>
      <c r="C10" s="5" t="s">
        <v>676</v>
      </c>
    </row>
    <row r="11" spans="1:3" ht="15" customHeight="1" x14ac:dyDescent="0.25">
      <c r="A11" s="5" t="s">
        <v>677</v>
      </c>
      <c r="B11" s="5" t="s">
        <v>678</v>
      </c>
      <c r="C11" s="5" t="s">
        <v>679</v>
      </c>
    </row>
    <row r="12" spans="1:3" ht="15" customHeight="1" x14ac:dyDescent="0.25">
      <c r="A12" s="5" t="s">
        <v>680</v>
      </c>
      <c r="B12" s="5" t="s">
        <v>681</v>
      </c>
      <c r="C12" s="5"/>
    </row>
    <row r="13" spans="1:3" ht="15" customHeight="1" x14ac:dyDescent="0.25">
      <c r="A13" s="5" t="s">
        <v>682</v>
      </c>
      <c r="B13" s="5" t="s">
        <v>683</v>
      </c>
      <c r="C13" s="5"/>
    </row>
    <row r="14" spans="1:3" ht="15" customHeight="1" x14ac:dyDescent="0.25">
      <c r="A14" s="5" t="s">
        <v>684</v>
      </c>
      <c r="B14" s="5" t="s">
        <v>685</v>
      </c>
      <c r="C14" s="5" t="s">
        <v>686</v>
      </c>
    </row>
    <row r="15" spans="1:3" ht="15" customHeight="1" x14ac:dyDescent="0.25">
      <c r="A15" s="5" t="s">
        <v>687</v>
      </c>
      <c r="B15" s="5" t="s">
        <v>688</v>
      </c>
      <c r="C15" s="5" t="s">
        <v>689</v>
      </c>
    </row>
    <row r="16" spans="1:3" ht="15" customHeight="1" x14ac:dyDescent="0.25">
      <c r="A16" s="5" t="s">
        <v>690</v>
      </c>
      <c r="B16" s="5" t="s">
        <v>691</v>
      </c>
      <c r="C16" s="5" t="s">
        <v>692</v>
      </c>
    </row>
    <row r="17" spans="1:3" ht="15" customHeight="1" x14ac:dyDescent="0.25">
      <c r="A17" s="5" t="s">
        <v>693</v>
      </c>
      <c r="B17" s="5" t="s">
        <v>694</v>
      </c>
      <c r="C17" s="5"/>
    </row>
    <row r="18" spans="1:3" ht="15" customHeight="1" x14ac:dyDescent="0.25">
      <c r="A18" s="5" t="s">
        <v>695</v>
      </c>
      <c r="B18" s="5" t="s">
        <v>696</v>
      </c>
      <c r="C18" s="5"/>
    </row>
    <row r="19" spans="1:3" ht="26.25" customHeight="1" x14ac:dyDescent="0.25">
      <c r="A19" s="5" t="s">
        <v>697</v>
      </c>
      <c r="B19" s="5" t="s">
        <v>698</v>
      </c>
      <c r="C19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style="1" customWidth="1"/>
    <col min="2" max="2" width="70" style="1" customWidth="1"/>
    <col min="3" max="3" width="46" style="1" customWidth="1"/>
    <col min="4" max="4" width="18" style="1" customWidth="1"/>
  </cols>
  <sheetData>
    <row r="1" spans="1:4" ht="26.25" customHeight="1" x14ac:dyDescent="0.25">
      <c r="A1" s="4" t="s">
        <v>699</v>
      </c>
      <c r="B1" s="4" t="s">
        <v>700</v>
      </c>
      <c r="C1" s="4" t="s">
        <v>701</v>
      </c>
      <c r="D1" s="4" t="s">
        <v>702</v>
      </c>
    </row>
    <row r="2" spans="1:4" ht="15" customHeight="1" x14ac:dyDescent="0.25">
      <c r="A2" s="5" t="s">
        <v>703</v>
      </c>
      <c r="B2" s="5" t="s">
        <v>704</v>
      </c>
      <c r="C2" s="5" t="s">
        <v>705</v>
      </c>
      <c r="D2" s="5" t="s">
        <v>325</v>
      </c>
    </row>
    <row r="3" spans="1:4" ht="15" customHeight="1" x14ac:dyDescent="0.25">
      <c r="A3" s="5" t="s">
        <v>706</v>
      </c>
      <c r="B3" s="5" t="s">
        <v>707</v>
      </c>
      <c r="C3" s="5" t="s">
        <v>708</v>
      </c>
      <c r="D3" s="5" t="s">
        <v>503</v>
      </c>
    </row>
    <row r="4" spans="1:4" ht="39" customHeight="1" x14ac:dyDescent="0.25">
      <c r="A4" s="5" t="s">
        <v>122</v>
      </c>
      <c r="B4" s="5" t="s">
        <v>709</v>
      </c>
      <c r="C4" s="5" t="s">
        <v>710</v>
      </c>
      <c r="D4" s="5" t="s">
        <v>711</v>
      </c>
    </row>
    <row r="5" spans="1:4" ht="15" customHeight="1" x14ac:dyDescent="0.25">
      <c r="A5" s="5" t="s">
        <v>390</v>
      </c>
      <c r="B5" s="5" t="s">
        <v>712</v>
      </c>
      <c r="C5" s="5" t="s">
        <v>713</v>
      </c>
      <c r="D5" s="5" t="s">
        <v>551</v>
      </c>
    </row>
    <row r="6" spans="1:4" ht="15" customHeight="1" x14ac:dyDescent="0.25">
      <c r="A6" s="5" t="s">
        <v>714</v>
      </c>
      <c r="B6" s="5" t="s">
        <v>715</v>
      </c>
      <c r="C6" s="5" t="s">
        <v>716</v>
      </c>
      <c r="D6" s="5" t="s">
        <v>556</v>
      </c>
    </row>
    <row r="7" spans="1:4" ht="15" customHeight="1" x14ac:dyDescent="0.25">
      <c r="A7" s="5" t="s">
        <v>717</v>
      </c>
      <c r="B7" s="5" t="s">
        <v>718</v>
      </c>
      <c r="C7" s="5" t="s">
        <v>719</v>
      </c>
      <c r="D7" s="5" t="s">
        <v>563</v>
      </c>
    </row>
    <row r="8" spans="1:4" ht="15" customHeight="1" x14ac:dyDescent="0.25">
      <c r="A8" s="5" t="s">
        <v>720</v>
      </c>
      <c r="B8" s="5" t="s">
        <v>721</v>
      </c>
      <c r="C8" s="5" t="s">
        <v>722</v>
      </c>
      <c r="D8" s="5" t="s">
        <v>582</v>
      </c>
    </row>
    <row r="9" spans="1:4" ht="15" customHeight="1" x14ac:dyDescent="0.25">
      <c r="A9" s="5" t="s">
        <v>723</v>
      </c>
      <c r="B9" s="5" t="s">
        <v>724</v>
      </c>
      <c r="C9" s="5" t="s">
        <v>725</v>
      </c>
      <c r="D9" s="5" t="s">
        <v>586</v>
      </c>
    </row>
    <row r="10" spans="1:4" ht="15" customHeight="1" x14ac:dyDescent="0.25">
      <c r="A10" s="5" t="s">
        <v>240</v>
      </c>
      <c r="B10" s="5" t="s">
        <v>240</v>
      </c>
      <c r="C10" s="5" t="s">
        <v>726</v>
      </c>
      <c r="D10" s="5" t="s">
        <v>523</v>
      </c>
    </row>
    <row r="11" spans="1:4" ht="26.25" customHeight="1" x14ac:dyDescent="0.25">
      <c r="A11" s="5" t="s">
        <v>727</v>
      </c>
      <c r="B11" s="5" t="s">
        <v>55</v>
      </c>
      <c r="C11" s="5" t="s">
        <v>728</v>
      </c>
      <c r="D11" s="5" t="s">
        <v>55</v>
      </c>
    </row>
    <row r="12" spans="1:4" ht="26.25" customHeight="1" x14ac:dyDescent="0.25">
      <c r="A12" s="5" t="s">
        <v>729</v>
      </c>
      <c r="B12" s="5" t="s">
        <v>55</v>
      </c>
      <c r="C12" s="5" t="s">
        <v>730</v>
      </c>
      <c r="D12" s="5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topLeftCell="A34" zoomScaleNormal="100" workbookViewId="0"/>
  </sheetViews>
  <sheetFormatPr baseColWidth="10" defaultColWidth="8.7109375" defaultRowHeight="15" x14ac:dyDescent="0.25"/>
  <cols>
    <col min="1" max="1" width="12" customWidth="1"/>
    <col min="2" max="2" width="36" customWidth="1"/>
    <col min="3" max="3" width="20" customWidth="1"/>
    <col min="4" max="4" width="80" customWidth="1"/>
    <col min="5" max="5" width="60" customWidth="1"/>
  </cols>
  <sheetData>
    <row r="1" spans="1:5" x14ac:dyDescent="0.25">
      <c r="A1" s="1" t="s">
        <v>731</v>
      </c>
    </row>
    <row r="2" spans="1:5" x14ac:dyDescent="0.25">
      <c r="A2" s="6" t="s">
        <v>732</v>
      </c>
      <c r="B2" s="6" t="s">
        <v>733</v>
      </c>
      <c r="C2" s="6" t="s">
        <v>734</v>
      </c>
      <c r="D2" s="6" t="s">
        <v>735</v>
      </c>
      <c r="E2" s="6" t="s">
        <v>736</v>
      </c>
    </row>
    <row r="3" spans="1:5" ht="30" x14ac:dyDescent="0.25">
      <c r="A3" s="13" t="s">
        <v>737</v>
      </c>
      <c r="B3" s="13" t="s">
        <v>738</v>
      </c>
      <c r="C3" s="13" t="s">
        <v>739</v>
      </c>
      <c r="D3" s="13" t="s">
        <v>740</v>
      </c>
      <c r="E3" s="13" t="s">
        <v>741</v>
      </c>
    </row>
    <row r="4" spans="1:5" x14ac:dyDescent="0.25">
      <c r="A4" s="13" t="s">
        <v>742</v>
      </c>
      <c r="B4" s="13" t="s">
        <v>743</v>
      </c>
      <c r="C4" s="13" t="s">
        <v>739</v>
      </c>
      <c r="D4" s="13" t="s">
        <v>744</v>
      </c>
      <c r="E4" s="13" t="s">
        <v>745</v>
      </c>
    </row>
    <row r="5" spans="1:5" ht="30" x14ac:dyDescent="0.25">
      <c r="A5" s="13" t="s">
        <v>746</v>
      </c>
      <c r="B5" s="13" t="s">
        <v>747</v>
      </c>
      <c r="C5" s="13" t="s">
        <v>739</v>
      </c>
      <c r="D5" s="13" t="s">
        <v>748</v>
      </c>
      <c r="E5" s="13" t="s">
        <v>749</v>
      </c>
    </row>
    <row r="6" spans="1:5" x14ac:dyDescent="0.25">
      <c r="A6" s="13" t="s">
        <v>750</v>
      </c>
      <c r="B6" s="13" t="s">
        <v>751</v>
      </c>
      <c r="C6" s="13" t="s">
        <v>739</v>
      </c>
      <c r="D6" s="13" t="s">
        <v>752</v>
      </c>
      <c r="E6" s="13" t="s">
        <v>753</v>
      </c>
    </row>
    <row r="7" spans="1:5" x14ac:dyDescent="0.25">
      <c r="A7" s="13" t="s">
        <v>754</v>
      </c>
      <c r="B7" s="13" t="s">
        <v>755</v>
      </c>
      <c r="C7" s="13" t="s">
        <v>739</v>
      </c>
      <c r="D7" s="13" t="s">
        <v>756</v>
      </c>
      <c r="E7" s="13" t="s">
        <v>55</v>
      </c>
    </row>
    <row r="8" spans="1:5" x14ac:dyDescent="0.25">
      <c r="A8" s="13" t="s">
        <v>757</v>
      </c>
      <c r="B8" s="13" t="s">
        <v>758</v>
      </c>
      <c r="C8" s="13" t="s">
        <v>739</v>
      </c>
      <c r="D8" s="13" t="s">
        <v>759</v>
      </c>
      <c r="E8" s="13" t="s">
        <v>55</v>
      </c>
    </row>
    <row r="9" spans="1:5" x14ac:dyDescent="0.25">
      <c r="A9" s="13" t="s">
        <v>760</v>
      </c>
      <c r="B9" s="13" t="s">
        <v>761</v>
      </c>
      <c r="C9" s="13" t="s">
        <v>739</v>
      </c>
      <c r="D9" s="13" t="s">
        <v>762</v>
      </c>
      <c r="E9" s="13" t="s">
        <v>55</v>
      </c>
    </row>
    <row r="10" spans="1:5" x14ac:dyDescent="0.25">
      <c r="A10" s="13" t="s">
        <v>763</v>
      </c>
      <c r="B10" s="13" t="s">
        <v>764</v>
      </c>
      <c r="C10" s="13" t="s">
        <v>739</v>
      </c>
      <c r="D10" s="13" t="s">
        <v>765</v>
      </c>
      <c r="E10" s="13" t="s">
        <v>766</v>
      </c>
    </row>
    <row r="11" spans="1:5" x14ac:dyDescent="0.25">
      <c r="A11" s="13" t="s">
        <v>767</v>
      </c>
      <c r="B11" s="13" t="s">
        <v>768</v>
      </c>
      <c r="C11" s="13" t="s">
        <v>739</v>
      </c>
      <c r="D11" s="13" t="s">
        <v>769</v>
      </c>
      <c r="E11" s="13" t="s">
        <v>55</v>
      </c>
    </row>
    <row r="12" spans="1:5" x14ac:dyDescent="0.25">
      <c r="A12" s="13" t="s">
        <v>770</v>
      </c>
      <c r="B12" s="13" t="s">
        <v>771</v>
      </c>
      <c r="C12" s="13" t="s">
        <v>739</v>
      </c>
      <c r="D12" s="13" t="s">
        <v>772</v>
      </c>
      <c r="E12" s="13" t="s">
        <v>55</v>
      </c>
    </row>
    <row r="13" spans="1:5" ht="45" x14ac:dyDescent="0.25">
      <c r="A13" s="13" t="s">
        <v>773</v>
      </c>
      <c r="B13" s="13" t="s">
        <v>774</v>
      </c>
      <c r="C13" s="13" t="s">
        <v>775</v>
      </c>
      <c r="D13" s="13" t="s">
        <v>776</v>
      </c>
      <c r="E13" s="13" t="s">
        <v>777</v>
      </c>
    </row>
    <row r="14" spans="1:5" ht="30" x14ac:dyDescent="0.25">
      <c r="A14" s="13" t="s">
        <v>778</v>
      </c>
      <c r="B14" s="13" t="s">
        <v>779</v>
      </c>
      <c r="C14" s="13" t="s">
        <v>739</v>
      </c>
      <c r="D14" s="13" t="s">
        <v>780</v>
      </c>
      <c r="E14" s="13" t="s">
        <v>55</v>
      </c>
    </row>
    <row r="15" spans="1:5" x14ac:dyDescent="0.25">
      <c r="A15" s="13" t="s">
        <v>781</v>
      </c>
      <c r="B15" s="13" t="s">
        <v>782</v>
      </c>
      <c r="C15" s="13" t="s">
        <v>739</v>
      </c>
      <c r="D15" s="13" t="s">
        <v>783</v>
      </c>
      <c r="E15" s="13" t="s">
        <v>55</v>
      </c>
    </row>
    <row r="16" spans="1:5" ht="30" x14ac:dyDescent="0.25">
      <c r="A16" s="13" t="s">
        <v>784</v>
      </c>
      <c r="B16" s="13" t="s">
        <v>785</v>
      </c>
      <c r="C16" s="13" t="s">
        <v>775</v>
      </c>
      <c r="D16" s="13" t="s">
        <v>786</v>
      </c>
      <c r="E16" s="13" t="s">
        <v>787</v>
      </c>
    </row>
    <row r="17" spans="1:5" ht="90" x14ac:dyDescent="0.25">
      <c r="A17" s="13" t="s">
        <v>788</v>
      </c>
      <c r="B17" s="13" t="s">
        <v>789</v>
      </c>
      <c r="C17" s="13" t="s">
        <v>790</v>
      </c>
      <c r="D17" s="13" t="s">
        <v>791</v>
      </c>
      <c r="E17" s="13" t="s">
        <v>55</v>
      </c>
    </row>
    <row r="18" spans="1:5" ht="30" x14ac:dyDescent="0.25">
      <c r="A18" s="13" t="s">
        <v>792</v>
      </c>
      <c r="B18" s="13" t="s">
        <v>793</v>
      </c>
      <c r="C18" s="13" t="s">
        <v>790</v>
      </c>
      <c r="D18" s="13" t="s">
        <v>794</v>
      </c>
      <c r="E18" s="13" t="s">
        <v>55</v>
      </c>
    </row>
    <row r="19" spans="1:5" ht="30" x14ac:dyDescent="0.25">
      <c r="A19" s="13" t="s">
        <v>795</v>
      </c>
      <c r="B19" s="13" t="s">
        <v>796</v>
      </c>
      <c r="C19" s="13" t="s">
        <v>790</v>
      </c>
      <c r="D19" s="13" t="s">
        <v>797</v>
      </c>
      <c r="E19" s="13" t="s">
        <v>55</v>
      </c>
    </row>
    <row r="20" spans="1:5" ht="60" x14ac:dyDescent="0.25">
      <c r="A20" s="13" t="s">
        <v>798</v>
      </c>
      <c r="B20" s="13" t="s">
        <v>799</v>
      </c>
      <c r="C20" s="13" t="s">
        <v>790</v>
      </c>
      <c r="D20" s="13" t="s">
        <v>800</v>
      </c>
      <c r="E20" s="13" t="s">
        <v>55</v>
      </c>
    </row>
    <row r="21" spans="1:5" ht="30" x14ac:dyDescent="0.25">
      <c r="A21" s="13" t="s">
        <v>801</v>
      </c>
      <c r="B21" s="13" t="s">
        <v>802</v>
      </c>
      <c r="C21" s="13" t="s">
        <v>790</v>
      </c>
      <c r="D21" s="13" t="s">
        <v>803</v>
      </c>
      <c r="E21" s="13" t="s">
        <v>55</v>
      </c>
    </row>
    <row r="22" spans="1:5" ht="30" x14ac:dyDescent="0.25">
      <c r="A22" s="13" t="s">
        <v>804</v>
      </c>
      <c r="B22" s="13" t="s">
        <v>805</v>
      </c>
      <c r="C22" s="13" t="s">
        <v>790</v>
      </c>
      <c r="D22" s="13" t="s">
        <v>806</v>
      </c>
      <c r="E22" s="13" t="s">
        <v>55</v>
      </c>
    </row>
    <row r="23" spans="1:5" ht="30" x14ac:dyDescent="0.25">
      <c r="A23" s="13" t="s">
        <v>807</v>
      </c>
      <c r="B23" s="13" t="s">
        <v>808</v>
      </c>
      <c r="C23" s="13" t="s">
        <v>790</v>
      </c>
      <c r="D23" s="13" t="s">
        <v>809</v>
      </c>
      <c r="E23" s="13" t="s">
        <v>55</v>
      </c>
    </row>
    <row r="24" spans="1:5" x14ac:dyDescent="0.25">
      <c r="A24" s="13" t="s">
        <v>810</v>
      </c>
      <c r="B24" s="13" t="s">
        <v>811</v>
      </c>
      <c r="C24" s="13" t="s">
        <v>790</v>
      </c>
      <c r="D24" s="13" t="s">
        <v>812</v>
      </c>
      <c r="E24" s="13" t="s">
        <v>55</v>
      </c>
    </row>
    <row r="25" spans="1:5" ht="30" x14ac:dyDescent="0.25">
      <c r="A25" s="13" t="s">
        <v>813</v>
      </c>
      <c r="B25" s="13" t="s">
        <v>814</v>
      </c>
      <c r="C25" s="13" t="s">
        <v>790</v>
      </c>
      <c r="D25" s="13" t="s">
        <v>815</v>
      </c>
      <c r="E25" s="13" t="s">
        <v>55</v>
      </c>
    </row>
    <row r="26" spans="1:5" ht="45" x14ac:dyDescent="0.25">
      <c r="A26" s="13" t="s">
        <v>816</v>
      </c>
      <c r="B26" s="13" t="s">
        <v>817</v>
      </c>
      <c r="C26" s="13" t="s">
        <v>790</v>
      </c>
      <c r="D26" s="13" t="s">
        <v>818</v>
      </c>
      <c r="E26" s="13" t="s">
        <v>55</v>
      </c>
    </row>
    <row r="27" spans="1:5" ht="30" x14ac:dyDescent="0.25">
      <c r="A27" s="13" t="s">
        <v>819</v>
      </c>
      <c r="B27" s="13" t="s">
        <v>820</v>
      </c>
      <c r="C27" s="13" t="s">
        <v>790</v>
      </c>
      <c r="D27" s="13" t="s">
        <v>821</v>
      </c>
      <c r="E27" s="13" t="s">
        <v>55</v>
      </c>
    </row>
    <row r="28" spans="1:5" ht="45" x14ac:dyDescent="0.25">
      <c r="A28" s="13" t="s">
        <v>822</v>
      </c>
      <c r="B28" s="13" t="s">
        <v>823</v>
      </c>
      <c r="C28" s="13" t="s">
        <v>790</v>
      </c>
      <c r="D28" s="13" t="s">
        <v>824</v>
      </c>
      <c r="E28" s="13" t="s">
        <v>55</v>
      </c>
    </row>
    <row r="29" spans="1:5" ht="105" x14ac:dyDescent="0.25">
      <c r="A29" s="13" t="s">
        <v>825</v>
      </c>
      <c r="B29" s="13" t="s">
        <v>826</v>
      </c>
      <c r="C29" s="13" t="s">
        <v>790</v>
      </c>
      <c r="D29" s="13" t="s">
        <v>827</v>
      </c>
      <c r="E29" s="13" t="s">
        <v>55</v>
      </c>
    </row>
    <row r="30" spans="1:5" ht="60" x14ac:dyDescent="0.25">
      <c r="A30" s="13" t="s">
        <v>828</v>
      </c>
      <c r="B30" s="13" t="s">
        <v>829</v>
      </c>
      <c r="C30" s="13" t="s">
        <v>790</v>
      </c>
      <c r="D30" s="13" t="s">
        <v>830</v>
      </c>
      <c r="E30" s="13" t="s">
        <v>55</v>
      </c>
    </row>
    <row r="31" spans="1:5" ht="30" x14ac:dyDescent="0.25">
      <c r="A31" s="13" t="s">
        <v>831</v>
      </c>
      <c r="B31" s="13" t="s">
        <v>832</v>
      </c>
      <c r="C31" s="13" t="s">
        <v>833</v>
      </c>
      <c r="D31" s="13" t="s">
        <v>834</v>
      </c>
      <c r="E31" s="13" t="s">
        <v>835</v>
      </c>
    </row>
    <row r="32" spans="1:5" ht="30" x14ac:dyDescent="0.25">
      <c r="A32" s="13" t="s">
        <v>836</v>
      </c>
      <c r="B32" s="13" t="s">
        <v>837</v>
      </c>
      <c r="C32" s="13" t="s">
        <v>790</v>
      </c>
      <c r="D32" s="13" t="s">
        <v>838</v>
      </c>
      <c r="E32" s="13" t="s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4"/>
  <sheetViews>
    <sheetView zoomScaleNormal="100" workbookViewId="0"/>
  </sheetViews>
  <sheetFormatPr baseColWidth="10" defaultColWidth="8.7109375" defaultRowHeight="15" x14ac:dyDescent="0.25"/>
  <cols>
    <col min="1" max="1" width="46" style="1" customWidth="1"/>
    <col min="2" max="2" width="10" style="1" customWidth="1"/>
    <col min="3" max="3" width="30" style="1" customWidth="1"/>
    <col min="4" max="4" width="18" style="1" customWidth="1"/>
    <col min="5" max="5" width="30" style="1" customWidth="1"/>
    <col min="6" max="6" width="18" style="1" customWidth="1"/>
    <col min="7" max="7" width="26" style="1" customWidth="1"/>
    <col min="8" max="8" width="40" style="1" customWidth="1"/>
  </cols>
  <sheetData>
    <row r="1" spans="1:9" ht="26.25" customHeight="1" x14ac:dyDescent="0.25">
      <c r="A1" s="4" t="s">
        <v>839</v>
      </c>
      <c r="B1" s="4" t="s">
        <v>840</v>
      </c>
      <c r="C1" s="4" t="s">
        <v>841</v>
      </c>
      <c r="D1" s="4" t="s">
        <v>842</v>
      </c>
      <c r="E1" s="4" t="s">
        <v>843</v>
      </c>
      <c r="F1" s="4" t="s">
        <v>844</v>
      </c>
      <c r="G1" s="4" t="s">
        <v>652</v>
      </c>
      <c r="H1" s="4" t="s">
        <v>845</v>
      </c>
    </row>
    <row r="2" spans="1:9" ht="26.25" customHeight="1" x14ac:dyDescent="0.25">
      <c r="A2" s="5" t="s">
        <v>737</v>
      </c>
      <c r="B2" s="14">
        <v>1</v>
      </c>
      <c r="C2" s="5" t="s">
        <v>846</v>
      </c>
      <c r="D2" s="5" t="s">
        <v>847</v>
      </c>
      <c r="E2" s="5" t="s">
        <v>738</v>
      </c>
      <c r="F2" s="5" t="s">
        <v>848</v>
      </c>
      <c r="G2" s="5" t="s">
        <v>849</v>
      </c>
      <c r="H2" s="5" t="s">
        <v>850</v>
      </c>
      <c r="I2" s="13"/>
    </row>
    <row r="3" spans="1:9" ht="26.25" customHeight="1" x14ac:dyDescent="0.25">
      <c r="A3" s="5" t="s">
        <v>742</v>
      </c>
      <c r="B3" s="14">
        <v>1</v>
      </c>
      <c r="C3" s="5" t="s">
        <v>851</v>
      </c>
      <c r="D3" s="5" t="s">
        <v>852</v>
      </c>
      <c r="E3" s="5" t="s">
        <v>743</v>
      </c>
      <c r="F3" s="5" t="s">
        <v>853</v>
      </c>
      <c r="G3" s="5" t="s">
        <v>854</v>
      </c>
      <c r="H3" s="5" t="s">
        <v>855</v>
      </c>
      <c r="I3" s="13"/>
    </row>
    <row r="4" spans="1:9" ht="26.25" customHeight="1" x14ac:dyDescent="0.25">
      <c r="A4" s="5" t="s">
        <v>746</v>
      </c>
      <c r="B4" s="14">
        <v>1</v>
      </c>
      <c r="C4" s="5" t="s">
        <v>856</v>
      </c>
      <c r="D4" s="5" t="s">
        <v>852</v>
      </c>
      <c r="E4" s="5" t="s">
        <v>857</v>
      </c>
      <c r="F4" s="5" t="s">
        <v>858</v>
      </c>
      <c r="G4" s="5" t="s">
        <v>859</v>
      </c>
      <c r="H4" s="5" t="s">
        <v>860</v>
      </c>
      <c r="I4" s="13"/>
    </row>
    <row r="5" spans="1:9" ht="26.25" customHeight="1" x14ac:dyDescent="0.25">
      <c r="A5" s="5" t="s">
        <v>750</v>
      </c>
      <c r="B5" s="14">
        <v>1</v>
      </c>
      <c r="C5" s="5" t="s">
        <v>861</v>
      </c>
      <c r="D5" s="5" t="s">
        <v>862</v>
      </c>
      <c r="E5" s="5" t="s">
        <v>751</v>
      </c>
      <c r="F5" s="5" t="s">
        <v>863</v>
      </c>
      <c r="G5" s="5" t="s">
        <v>864</v>
      </c>
      <c r="H5" s="5" t="s">
        <v>855</v>
      </c>
      <c r="I5" s="13"/>
    </row>
    <row r="6" spans="1:9" ht="26.25" customHeight="1" x14ac:dyDescent="0.25">
      <c r="A6" s="5" t="s">
        <v>754</v>
      </c>
      <c r="B6" s="14">
        <v>1</v>
      </c>
      <c r="C6" s="5" t="s">
        <v>865</v>
      </c>
      <c r="D6" s="5" t="s">
        <v>847</v>
      </c>
      <c r="E6" s="5" t="s">
        <v>755</v>
      </c>
      <c r="F6" s="5" t="s">
        <v>866</v>
      </c>
      <c r="G6" s="5" t="s">
        <v>867</v>
      </c>
      <c r="H6" s="5" t="s">
        <v>868</v>
      </c>
      <c r="I6" s="13"/>
    </row>
    <row r="7" spans="1:9" ht="26.25" customHeight="1" x14ac:dyDescent="0.25">
      <c r="A7" s="5" t="s">
        <v>757</v>
      </c>
      <c r="B7" s="14">
        <v>1</v>
      </c>
      <c r="C7" s="5" t="s">
        <v>869</v>
      </c>
      <c r="D7" s="5" t="s">
        <v>847</v>
      </c>
      <c r="E7" s="5" t="s">
        <v>758</v>
      </c>
      <c r="F7" s="5" t="s">
        <v>870</v>
      </c>
      <c r="G7" s="5" t="s">
        <v>871</v>
      </c>
      <c r="H7" s="5" t="s">
        <v>855</v>
      </c>
      <c r="I7" s="13"/>
    </row>
    <row r="8" spans="1:9" ht="26.25" customHeight="1" x14ac:dyDescent="0.25">
      <c r="A8" s="5" t="s">
        <v>760</v>
      </c>
      <c r="B8" s="14">
        <v>1</v>
      </c>
      <c r="C8" s="5" t="s">
        <v>872</v>
      </c>
      <c r="D8" s="5" t="s">
        <v>873</v>
      </c>
      <c r="E8" s="5" t="s">
        <v>761</v>
      </c>
      <c r="F8" s="5" t="s">
        <v>874</v>
      </c>
      <c r="G8" s="5" t="s">
        <v>875</v>
      </c>
      <c r="H8" s="5" t="s">
        <v>876</v>
      </c>
      <c r="I8" s="13"/>
    </row>
    <row r="9" spans="1:9" ht="26.25" customHeight="1" x14ac:dyDescent="0.25">
      <c r="A9" s="5" t="s">
        <v>763</v>
      </c>
      <c r="B9" s="14">
        <v>3</v>
      </c>
      <c r="C9" s="5" t="s">
        <v>877</v>
      </c>
      <c r="D9" s="5" t="s">
        <v>878</v>
      </c>
      <c r="E9" s="5" t="s">
        <v>764</v>
      </c>
      <c r="F9" s="5" t="s">
        <v>879</v>
      </c>
      <c r="G9" s="5" t="s">
        <v>880</v>
      </c>
      <c r="H9" s="5" t="s">
        <v>855</v>
      </c>
      <c r="I9" s="13"/>
    </row>
    <row r="10" spans="1:9" ht="26.25" customHeight="1" x14ac:dyDescent="0.25">
      <c r="A10" s="5" t="s">
        <v>767</v>
      </c>
      <c r="B10" s="14">
        <v>3</v>
      </c>
      <c r="C10" s="5" t="s">
        <v>881</v>
      </c>
      <c r="D10" s="5" t="s">
        <v>878</v>
      </c>
      <c r="E10" s="5" t="s">
        <v>768</v>
      </c>
      <c r="F10" s="5" t="s">
        <v>882</v>
      </c>
      <c r="G10" s="5" t="s">
        <v>883</v>
      </c>
      <c r="H10" s="5" t="s">
        <v>884</v>
      </c>
      <c r="I10" s="13"/>
    </row>
    <row r="11" spans="1:9" ht="15" customHeight="1" x14ac:dyDescent="0.25">
      <c r="A11" s="5" t="s">
        <v>770</v>
      </c>
      <c r="B11" s="14">
        <v>1</v>
      </c>
      <c r="C11" s="5" t="s">
        <v>885</v>
      </c>
      <c r="D11" s="5" t="s">
        <v>886</v>
      </c>
      <c r="E11" s="5" t="s">
        <v>771</v>
      </c>
      <c r="F11" s="5" t="s">
        <v>887</v>
      </c>
      <c r="G11" s="5" t="s">
        <v>888</v>
      </c>
      <c r="H11" s="5" t="s">
        <v>889</v>
      </c>
      <c r="I11" s="13"/>
    </row>
    <row r="12" spans="1:9" ht="15" customHeight="1" x14ac:dyDescent="0.25">
      <c r="A12" s="5" t="s">
        <v>773</v>
      </c>
      <c r="B12" s="14">
        <v>2</v>
      </c>
      <c r="C12" s="5" t="s">
        <v>890</v>
      </c>
      <c r="D12" s="5" t="s">
        <v>891</v>
      </c>
      <c r="E12" s="5" t="s">
        <v>774</v>
      </c>
      <c r="F12" s="5" t="s">
        <v>892</v>
      </c>
      <c r="G12" s="5" t="s">
        <v>893</v>
      </c>
      <c r="H12" s="5" t="s">
        <v>894</v>
      </c>
      <c r="I12" s="13"/>
    </row>
    <row r="13" spans="1:9" ht="15" customHeight="1" x14ac:dyDescent="0.25">
      <c r="A13" s="5" t="s">
        <v>778</v>
      </c>
      <c r="B13" s="14">
        <v>1</v>
      </c>
      <c r="C13" s="5" t="s">
        <v>895</v>
      </c>
      <c r="D13" s="5" t="s">
        <v>896</v>
      </c>
      <c r="E13" s="5" t="s">
        <v>779</v>
      </c>
      <c r="F13" s="5" t="s">
        <v>897</v>
      </c>
      <c r="G13" s="5" t="s">
        <v>179</v>
      </c>
      <c r="H13" s="5" t="s">
        <v>898</v>
      </c>
      <c r="I13" s="13"/>
    </row>
    <row r="14" spans="1:9" ht="15" customHeight="1" x14ac:dyDescent="0.25">
      <c r="A14" s="5" t="s">
        <v>781</v>
      </c>
      <c r="B14" s="14">
        <v>5</v>
      </c>
      <c r="C14" s="5" t="s">
        <v>899</v>
      </c>
      <c r="D14" s="5" t="s">
        <v>900</v>
      </c>
      <c r="E14" s="5" t="s">
        <v>782</v>
      </c>
      <c r="F14" s="5" t="s">
        <v>897</v>
      </c>
      <c r="G14" s="5" t="s">
        <v>185</v>
      </c>
      <c r="H14" s="5" t="s">
        <v>901</v>
      </c>
      <c r="I14" s="13"/>
    </row>
    <row r="15" spans="1:9" ht="26.25" customHeight="1" x14ac:dyDescent="0.25">
      <c r="A15" s="5" t="s">
        <v>784</v>
      </c>
      <c r="B15" s="14">
        <v>1</v>
      </c>
      <c r="C15" s="5" t="s">
        <v>902</v>
      </c>
      <c r="D15" s="5" t="s">
        <v>891</v>
      </c>
      <c r="E15" s="5" t="s">
        <v>785</v>
      </c>
      <c r="F15" s="5" t="s">
        <v>903</v>
      </c>
      <c r="G15" s="5" t="s">
        <v>904</v>
      </c>
      <c r="H15" s="5" t="s">
        <v>905</v>
      </c>
      <c r="I15" s="13"/>
    </row>
    <row r="16" spans="1:9" ht="15" customHeight="1" x14ac:dyDescent="0.25">
      <c r="A16" s="5" t="s">
        <v>906</v>
      </c>
      <c r="B16" s="14">
        <v>58</v>
      </c>
      <c r="C16" s="5" t="s">
        <v>907</v>
      </c>
      <c r="D16" s="5" t="s">
        <v>908</v>
      </c>
      <c r="E16" s="5" t="s">
        <v>909</v>
      </c>
      <c r="F16" s="5" t="s">
        <v>910</v>
      </c>
      <c r="G16" s="5" t="s">
        <v>911</v>
      </c>
      <c r="H16" s="5" t="s">
        <v>912</v>
      </c>
      <c r="I16" s="13"/>
    </row>
    <row r="17" spans="1:9" ht="15" customHeight="1" x14ac:dyDescent="0.25">
      <c r="A17" s="5" t="s">
        <v>792</v>
      </c>
      <c r="B17" s="14">
        <v>2</v>
      </c>
      <c r="C17" s="5" t="s">
        <v>913</v>
      </c>
      <c r="D17" s="5" t="s">
        <v>914</v>
      </c>
      <c r="E17" s="5" t="s">
        <v>915</v>
      </c>
      <c r="F17" s="5" t="s">
        <v>910</v>
      </c>
      <c r="G17" s="5" t="s">
        <v>916</v>
      </c>
      <c r="H17" s="15" t="s">
        <v>917</v>
      </c>
      <c r="I17" s="13"/>
    </row>
    <row r="18" spans="1:9" ht="15" customHeight="1" x14ac:dyDescent="0.25">
      <c r="A18" s="5" t="s">
        <v>795</v>
      </c>
      <c r="B18" s="14">
        <v>1</v>
      </c>
      <c r="C18" s="5" t="s">
        <v>918</v>
      </c>
      <c r="D18" s="5" t="s">
        <v>908</v>
      </c>
      <c r="E18" s="5" t="s">
        <v>919</v>
      </c>
      <c r="F18" s="5" t="s">
        <v>910</v>
      </c>
      <c r="G18" s="5" t="s">
        <v>920</v>
      </c>
      <c r="H18" s="15" t="s">
        <v>921</v>
      </c>
      <c r="I18" s="13"/>
    </row>
    <row r="19" spans="1:9" ht="15" customHeight="1" x14ac:dyDescent="0.25">
      <c r="A19" s="5" t="s">
        <v>798</v>
      </c>
      <c r="B19" s="14">
        <v>3</v>
      </c>
      <c r="C19" s="5" t="s">
        <v>922</v>
      </c>
      <c r="D19" s="5" t="s">
        <v>908</v>
      </c>
      <c r="E19" s="5" t="s">
        <v>923</v>
      </c>
      <c r="F19" s="5" t="s">
        <v>924</v>
      </c>
      <c r="G19" s="5" t="s">
        <v>925</v>
      </c>
      <c r="H19" s="15" t="s">
        <v>926</v>
      </c>
      <c r="I19" s="13"/>
    </row>
    <row r="20" spans="1:9" ht="15" customHeight="1" x14ac:dyDescent="0.25">
      <c r="A20" s="5" t="s">
        <v>801</v>
      </c>
      <c r="B20" s="14">
        <v>2</v>
      </c>
      <c r="C20" s="5" t="s">
        <v>927</v>
      </c>
      <c r="D20" s="5" t="s">
        <v>908</v>
      </c>
      <c r="E20" s="5" t="s">
        <v>928</v>
      </c>
      <c r="F20" s="5" t="s">
        <v>924</v>
      </c>
      <c r="G20" s="5" t="s">
        <v>929</v>
      </c>
      <c r="H20" s="15" t="s">
        <v>930</v>
      </c>
      <c r="I20" s="13"/>
    </row>
    <row r="21" spans="1:9" ht="15" customHeight="1" x14ac:dyDescent="0.25">
      <c r="A21" s="5" t="s">
        <v>804</v>
      </c>
      <c r="B21" s="14">
        <v>1</v>
      </c>
      <c r="C21" s="5" t="s">
        <v>931</v>
      </c>
      <c r="D21" s="5" t="s">
        <v>908</v>
      </c>
      <c r="E21" s="5" t="s">
        <v>932</v>
      </c>
      <c r="F21" s="5" t="s">
        <v>933</v>
      </c>
      <c r="G21" s="5" t="s">
        <v>934</v>
      </c>
      <c r="H21" s="15" t="s">
        <v>935</v>
      </c>
      <c r="I21" s="13"/>
    </row>
    <row r="22" spans="1:9" ht="15" customHeight="1" x14ac:dyDescent="0.25">
      <c r="A22" s="5" t="s">
        <v>807</v>
      </c>
      <c r="B22" s="14">
        <v>3</v>
      </c>
      <c r="C22" s="5" t="s">
        <v>936</v>
      </c>
      <c r="D22" s="5" t="s">
        <v>908</v>
      </c>
      <c r="E22" s="5" t="s">
        <v>937</v>
      </c>
      <c r="F22" s="5" t="s">
        <v>933</v>
      </c>
      <c r="G22" s="5" t="s">
        <v>938</v>
      </c>
      <c r="H22" s="15" t="s">
        <v>939</v>
      </c>
      <c r="I22" s="13"/>
    </row>
    <row r="23" spans="1:9" ht="30" x14ac:dyDescent="0.25">
      <c r="A23" s="13" t="s">
        <v>810</v>
      </c>
      <c r="B23" s="13">
        <v>1</v>
      </c>
      <c r="C23" s="13" t="s">
        <v>940</v>
      </c>
      <c r="D23" s="13" t="s">
        <v>941</v>
      </c>
      <c r="E23" s="13" t="s">
        <v>942</v>
      </c>
      <c r="F23" s="13" t="s">
        <v>910</v>
      </c>
      <c r="G23" s="13" t="s">
        <v>943</v>
      </c>
      <c r="H23" s="13" t="s">
        <v>912</v>
      </c>
      <c r="I23" s="13"/>
    </row>
    <row r="24" spans="1:9" ht="30" x14ac:dyDescent="0.25">
      <c r="A24" s="13" t="s">
        <v>813</v>
      </c>
      <c r="B24" s="13">
        <v>1</v>
      </c>
      <c r="C24" s="13" t="s">
        <v>944</v>
      </c>
      <c r="D24" s="13" t="s">
        <v>941</v>
      </c>
      <c r="E24" s="13" t="s">
        <v>945</v>
      </c>
      <c r="F24" s="13" t="s">
        <v>910</v>
      </c>
      <c r="G24" s="13" t="s">
        <v>946</v>
      </c>
      <c r="H24" s="13" t="s">
        <v>947</v>
      </c>
      <c r="I24" s="13"/>
    </row>
    <row r="25" spans="1:9" ht="30" x14ac:dyDescent="0.25">
      <c r="A25" s="13" t="s">
        <v>816</v>
      </c>
      <c r="B25" s="13">
        <v>16</v>
      </c>
      <c r="C25" s="13" t="s">
        <v>948</v>
      </c>
      <c r="D25" s="13" t="s">
        <v>949</v>
      </c>
      <c r="E25" s="13" t="s">
        <v>950</v>
      </c>
      <c r="F25" s="13" t="s">
        <v>910</v>
      </c>
      <c r="G25" s="13" t="s">
        <v>951</v>
      </c>
      <c r="H25" s="13" t="s">
        <v>912</v>
      </c>
      <c r="I25" s="13"/>
    </row>
    <row r="26" spans="1:9" ht="30" x14ac:dyDescent="0.25">
      <c r="A26" s="13" t="s">
        <v>819</v>
      </c>
      <c r="B26" s="13">
        <v>2</v>
      </c>
      <c r="C26" s="13" t="s">
        <v>952</v>
      </c>
      <c r="D26" s="13" t="s">
        <v>941</v>
      </c>
      <c r="E26" s="13" t="s">
        <v>953</v>
      </c>
      <c r="F26" s="13" t="s">
        <v>910</v>
      </c>
      <c r="G26" s="13" t="s">
        <v>954</v>
      </c>
      <c r="H26" s="13" t="s">
        <v>912</v>
      </c>
      <c r="I26" s="13"/>
    </row>
    <row r="27" spans="1:9" ht="30" x14ac:dyDescent="0.25">
      <c r="A27" s="13" t="s">
        <v>822</v>
      </c>
      <c r="B27" s="13">
        <v>4</v>
      </c>
      <c r="C27" s="13" t="s">
        <v>955</v>
      </c>
      <c r="D27" s="13" t="s">
        <v>941</v>
      </c>
      <c r="E27" s="13" t="s">
        <v>956</v>
      </c>
      <c r="F27" s="13" t="s">
        <v>910</v>
      </c>
      <c r="G27" s="13" t="s">
        <v>957</v>
      </c>
      <c r="H27" s="13" t="s">
        <v>912</v>
      </c>
      <c r="I27" s="13"/>
    </row>
    <row r="28" spans="1:9" ht="30" x14ac:dyDescent="0.25">
      <c r="A28" s="13" t="s">
        <v>825</v>
      </c>
      <c r="B28" s="13">
        <v>9</v>
      </c>
      <c r="C28" s="13" t="s">
        <v>958</v>
      </c>
      <c r="D28" s="13" t="s">
        <v>941</v>
      </c>
      <c r="E28" s="13" t="s">
        <v>959</v>
      </c>
      <c r="F28" s="13" t="s">
        <v>910</v>
      </c>
      <c r="G28" s="13" t="s">
        <v>960</v>
      </c>
      <c r="H28" s="13" t="s">
        <v>912</v>
      </c>
      <c r="I28" s="13"/>
    </row>
    <row r="29" spans="1:9" ht="45" x14ac:dyDescent="0.25">
      <c r="A29" s="13" t="s">
        <v>828</v>
      </c>
      <c r="B29" s="13">
        <v>4</v>
      </c>
      <c r="C29" s="13" t="s">
        <v>961</v>
      </c>
      <c r="D29" s="13" t="s">
        <v>941</v>
      </c>
      <c r="E29" s="13" t="s">
        <v>962</v>
      </c>
      <c r="F29" s="13" t="s">
        <v>910</v>
      </c>
      <c r="G29" s="13" t="s">
        <v>963</v>
      </c>
      <c r="H29" s="13" t="s">
        <v>912</v>
      </c>
      <c r="I29" s="13"/>
    </row>
    <row r="30" spans="1:9" ht="60" x14ac:dyDescent="0.25">
      <c r="A30" s="13" t="s">
        <v>831</v>
      </c>
      <c r="B30" s="13">
        <v>3</v>
      </c>
      <c r="C30" s="13" t="s">
        <v>964</v>
      </c>
      <c r="D30" s="13" t="s">
        <v>941</v>
      </c>
      <c r="E30" s="13" t="s">
        <v>965</v>
      </c>
      <c r="F30" s="13" t="s">
        <v>924</v>
      </c>
      <c r="G30" s="13" t="s">
        <v>966</v>
      </c>
      <c r="H30" s="13" t="s">
        <v>967</v>
      </c>
      <c r="I30" s="13"/>
    </row>
    <row r="31" spans="1:9" ht="30" x14ac:dyDescent="0.25">
      <c r="A31" s="13" t="s">
        <v>836</v>
      </c>
      <c r="B31" s="13">
        <v>1</v>
      </c>
      <c r="C31" s="13" t="s">
        <v>968</v>
      </c>
      <c r="D31" s="13" t="s">
        <v>914</v>
      </c>
      <c r="E31" s="13" t="s">
        <v>969</v>
      </c>
      <c r="F31" s="13" t="s">
        <v>910</v>
      </c>
      <c r="G31" s="13" t="s">
        <v>970</v>
      </c>
      <c r="H31" s="13" t="s">
        <v>912</v>
      </c>
      <c r="I31" s="13"/>
    </row>
    <row r="33" spans="1:2" x14ac:dyDescent="0.25">
      <c r="A33" s="1" t="s">
        <v>971</v>
      </c>
    </row>
    <row r="34" spans="1:2" x14ac:dyDescent="0.25">
      <c r="A34" s="1" t="s">
        <v>972</v>
      </c>
      <c r="B34" s="1">
        <f>SUM(B2:B31)</f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42"/>
  <sheetViews>
    <sheetView topLeftCell="A34" zoomScaleNormal="100" workbookViewId="0">
      <selection activeCell="E7" sqref="E7"/>
    </sheetView>
  </sheetViews>
  <sheetFormatPr baseColWidth="10" defaultColWidth="8.7109375" defaultRowHeight="15" x14ac:dyDescent="0.25"/>
  <cols>
    <col min="1" max="1" width="34" style="1" customWidth="1"/>
    <col min="2" max="3" width="11" style="1" customWidth="1"/>
    <col min="4" max="4" width="12" style="1" customWidth="1"/>
    <col min="5" max="33" width="11" style="1" customWidth="1"/>
  </cols>
  <sheetData>
    <row r="1" spans="1:33" ht="21.75" customHeight="1" x14ac:dyDescent="0.25">
      <c r="A1" s="16" t="s">
        <v>973</v>
      </c>
      <c r="B1" s="17">
        <v>1.1558999999999999</v>
      </c>
      <c r="C1" s="29"/>
      <c r="D1" s="30"/>
    </row>
    <row r="2" spans="1:33" x14ac:dyDescent="0.25">
      <c r="A2" s="1" t="s">
        <v>974</v>
      </c>
      <c r="B2" s="18">
        <v>3158.43</v>
      </c>
    </row>
    <row r="3" spans="1:33" ht="26.25" customHeight="1" x14ac:dyDescent="0.25">
      <c r="A3" s="4" t="s">
        <v>975</v>
      </c>
      <c r="B3" s="4" t="s">
        <v>840</v>
      </c>
      <c r="C3" s="4" t="s">
        <v>976</v>
      </c>
      <c r="D3" s="4" t="s">
        <v>977</v>
      </c>
      <c r="E3" s="4" t="s">
        <v>978</v>
      </c>
      <c r="F3" s="4" t="s">
        <v>979</v>
      </c>
      <c r="G3" s="4" t="s">
        <v>980</v>
      </c>
      <c r="H3" s="4" t="s">
        <v>981</v>
      </c>
      <c r="I3" s="4" t="s">
        <v>982</v>
      </c>
      <c r="J3" s="4" t="s">
        <v>983</v>
      </c>
      <c r="K3" s="4" t="s">
        <v>984</v>
      </c>
      <c r="L3" s="4" t="s">
        <v>985</v>
      </c>
      <c r="M3" s="4" t="s">
        <v>986</v>
      </c>
      <c r="N3" s="4" t="s">
        <v>987</v>
      </c>
      <c r="O3" s="4" t="s">
        <v>988</v>
      </c>
      <c r="P3" s="4" t="s">
        <v>989</v>
      </c>
      <c r="Q3" s="4" t="s">
        <v>990</v>
      </c>
      <c r="R3" s="4" t="s">
        <v>991</v>
      </c>
      <c r="S3" s="4" t="s">
        <v>992</v>
      </c>
      <c r="T3" s="4" t="s">
        <v>993</v>
      </c>
      <c r="U3" s="4" t="s">
        <v>994</v>
      </c>
      <c r="V3" s="4" t="s">
        <v>995</v>
      </c>
      <c r="W3" s="4" t="s">
        <v>996</v>
      </c>
      <c r="X3" s="4" t="s">
        <v>997</v>
      </c>
      <c r="Y3" s="4" t="s">
        <v>998</v>
      </c>
      <c r="Z3" s="4" t="s">
        <v>999</v>
      </c>
      <c r="AA3" s="4" t="s">
        <v>996</v>
      </c>
      <c r="AB3" s="4" t="s">
        <v>997</v>
      </c>
      <c r="AC3" s="4" t="s">
        <v>998</v>
      </c>
      <c r="AD3" s="4" t="s">
        <v>1000</v>
      </c>
      <c r="AE3" s="4" t="s">
        <v>996</v>
      </c>
      <c r="AF3" s="4" t="s">
        <v>997</v>
      </c>
      <c r="AG3" s="4" t="s">
        <v>998</v>
      </c>
    </row>
    <row r="4" spans="1:33" ht="15" customHeight="1" x14ac:dyDescent="0.25">
      <c r="A4" s="5" t="s">
        <v>738</v>
      </c>
      <c r="B4" s="5">
        <f>BOM!B2</f>
        <v>1</v>
      </c>
      <c r="C4" s="5" t="s">
        <v>1001</v>
      </c>
      <c r="D4" s="14">
        <v>1</v>
      </c>
      <c r="E4" s="14">
        <v>1</v>
      </c>
      <c r="F4" s="14">
        <v>10</v>
      </c>
      <c r="G4" s="14">
        <v>1000000000</v>
      </c>
      <c r="H4" s="14">
        <v>1000000000</v>
      </c>
      <c r="I4" s="14">
        <v>1000000000</v>
      </c>
      <c r="J4" s="14">
        <v>1000000000</v>
      </c>
      <c r="K4" s="14">
        <v>1000000000</v>
      </c>
      <c r="L4" s="14">
        <v>1000000000</v>
      </c>
      <c r="M4" s="14">
        <v>1000000000</v>
      </c>
      <c r="N4" s="17">
        <v>14.03</v>
      </c>
      <c r="O4" s="17">
        <v>14.03</v>
      </c>
      <c r="P4" s="17">
        <v>14.03</v>
      </c>
      <c r="Q4" s="17">
        <v>14.03</v>
      </c>
      <c r="R4" s="17">
        <v>14.03</v>
      </c>
      <c r="S4" s="17">
        <v>14.03</v>
      </c>
      <c r="T4" s="17">
        <v>14.03</v>
      </c>
      <c r="U4" s="17">
        <v>14.03</v>
      </c>
      <c r="V4" s="19">
        <f t="shared" ref="V4:V33" si="0">MAX(CEILING(B4*10,E4),D4)</f>
        <v>10</v>
      </c>
      <c r="W4" s="20">
        <f t="shared" ref="W4:W33" si="1">IFERROR(LOOKUP(V4,F4:M4,N4:U4),N4)*IF(C4="EUR",$B$1,1)</f>
        <v>14.03</v>
      </c>
      <c r="X4" s="21">
        <f t="shared" ref="X4:X33" si="2">V4*W4</f>
        <v>140.29999999999998</v>
      </c>
      <c r="Y4" s="19">
        <f t="shared" ref="Y4:Y33" si="3">V4-B4*10</f>
        <v>0</v>
      </c>
      <c r="Z4" s="19">
        <f t="shared" ref="Z4:Z33" si="4">MAX(CEILING(B4*100,E4),D4)</f>
        <v>100</v>
      </c>
      <c r="AA4" s="20">
        <f t="shared" ref="AA4:AA33" si="5">IFERROR(LOOKUP(Z4,F4:M4,N4:U4),N4)*IF(C4="EUR",$B$1,1)</f>
        <v>14.03</v>
      </c>
      <c r="AB4" s="21">
        <f t="shared" ref="AB4:AB33" si="6">Z4*AA4</f>
        <v>1403</v>
      </c>
      <c r="AC4" s="19">
        <f t="shared" ref="AC4:AC33" si="7">Z4-B4*100</f>
        <v>0</v>
      </c>
      <c r="AD4" s="19">
        <f t="shared" ref="AD4:AD33" si="8">MAX(CEILING(B4*1000,E4),D4)</f>
        <v>1000</v>
      </c>
      <c r="AE4" s="20">
        <f t="shared" ref="AE4:AE33" si="9">IFERROR(LOOKUP(AD4,F4:M4,N4:U4),N4)*IF(C4="EUR",$B$1,1)</f>
        <v>14.03</v>
      </c>
      <c r="AF4" s="21">
        <f t="shared" ref="AF4:AF33" si="10">AD4*AE4</f>
        <v>14030</v>
      </c>
      <c r="AG4" s="19">
        <f t="shared" ref="AG4:AG33" si="11">AD4-B4*1000</f>
        <v>0</v>
      </c>
    </row>
    <row r="5" spans="1:33" ht="15" customHeight="1" x14ac:dyDescent="0.25">
      <c r="A5" s="5" t="s">
        <v>743</v>
      </c>
      <c r="B5" s="5">
        <f>BOM!B3</f>
        <v>1</v>
      </c>
      <c r="C5" s="5" t="s">
        <v>1001</v>
      </c>
      <c r="D5" s="14">
        <v>1</v>
      </c>
      <c r="E5" s="14">
        <v>1</v>
      </c>
      <c r="F5" s="14">
        <v>1</v>
      </c>
      <c r="G5" s="14">
        <v>10</v>
      </c>
      <c r="H5" s="14">
        <v>25</v>
      </c>
      <c r="I5" s="14">
        <v>50</v>
      </c>
      <c r="J5" s="14">
        <v>100</v>
      </c>
      <c r="K5" s="14">
        <v>250</v>
      </c>
      <c r="L5" s="14">
        <v>500</v>
      </c>
      <c r="M5" s="14">
        <v>1000</v>
      </c>
      <c r="N5" s="17">
        <v>4.9400000000000004</v>
      </c>
      <c r="O5" s="17">
        <v>4.6029999999999998</v>
      </c>
      <c r="P5" s="17">
        <v>4.4656000000000002</v>
      </c>
      <c r="Q5" s="17">
        <v>4.3616000000000001</v>
      </c>
      <c r="R5" s="17">
        <v>4.2576999999999998</v>
      </c>
      <c r="S5" s="17">
        <v>4.1211200000000003</v>
      </c>
      <c r="T5" s="17">
        <v>4.0189399999999997</v>
      </c>
      <c r="U5" s="17">
        <v>3.9180799999999998</v>
      </c>
      <c r="V5" s="19">
        <f t="shared" si="0"/>
        <v>10</v>
      </c>
      <c r="W5" s="20">
        <f t="shared" si="1"/>
        <v>4.6029999999999998</v>
      </c>
      <c r="X5" s="21">
        <f t="shared" si="2"/>
        <v>46.03</v>
      </c>
      <c r="Y5" s="19">
        <f t="shared" si="3"/>
        <v>0</v>
      </c>
      <c r="Z5" s="19">
        <f t="shared" si="4"/>
        <v>100</v>
      </c>
      <c r="AA5" s="20">
        <f t="shared" si="5"/>
        <v>4.2576999999999998</v>
      </c>
      <c r="AB5" s="21">
        <f t="shared" si="6"/>
        <v>425.77</v>
      </c>
      <c r="AC5" s="19">
        <f t="shared" si="7"/>
        <v>0</v>
      </c>
      <c r="AD5" s="19">
        <f t="shared" si="8"/>
        <v>1000</v>
      </c>
      <c r="AE5" s="20">
        <f t="shared" si="9"/>
        <v>3.9180799999999998</v>
      </c>
      <c r="AF5" s="21">
        <f t="shared" si="10"/>
        <v>3918.08</v>
      </c>
      <c r="AG5" s="19">
        <f t="shared" si="11"/>
        <v>0</v>
      </c>
    </row>
    <row r="6" spans="1:33" ht="15" customHeight="1" x14ac:dyDescent="0.25">
      <c r="A6" s="5" t="s">
        <v>1002</v>
      </c>
      <c r="B6" s="5">
        <f>BOM!B4</f>
        <v>1</v>
      </c>
      <c r="C6" s="5" t="s">
        <v>1001</v>
      </c>
      <c r="D6" s="14">
        <v>1</v>
      </c>
      <c r="E6" s="14">
        <v>1</v>
      </c>
      <c r="F6" s="14">
        <v>1</v>
      </c>
      <c r="G6" s="14">
        <v>10</v>
      </c>
      <c r="H6" s="14">
        <v>100</v>
      </c>
      <c r="I6" s="14">
        <v>1000</v>
      </c>
      <c r="J6" s="14">
        <v>1000000000</v>
      </c>
      <c r="K6" s="14">
        <v>1000000000</v>
      </c>
      <c r="L6" s="14">
        <v>1000000000</v>
      </c>
      <c r="M6" s="14">
        <v>1000000000</v>
      </c>
      <c r="N6" s="17">
        <v>40.950000000000003</v>
      </c>
      <c r="O6" s="17">
        <v>39.619999999999997</v>
      </c>
      <c r="P6" s="17">
        <v>39</v>
      </c>
      <c r="Q6" s="17">
        <v>39</v>
      </c>
      <c r="R6" s="17">
        <v>39</v>
      </c>
      <c r="S6" s="17">
        <v>39</v>
      </c>
      <c r="T6" s="17">
        <v>39</v>
      </c>
      <c r="U6" s="17">
        <v>39</v>
      </c>
      <c r="V6" s="19">
        <f t="shared" si="0"/>
        <v>10</v>
      </c>
      <c r="W6" s="20">
        <f t="shared" si="1"/>
        <v>39.619999999999997</v>
      </c>
      <c r="X6" s="21">
        <f t="shared" si="2"/>
        <v>396.2</v>
      </c>
      <c r="Y6" s="19">
        <f t="shared" si="3"/>
        <v>0</v>
      </c>
      <c r="Z6" s="19">
        <f t="shared" si="4"/>
        <v>100</v>
      </c>
      <c r="AA6" s="20">
        <f t="shared" si="5"/>
        <v>39</v>
      </c>
      <c r="AB6" s="21">
        <f t="shared" si="6"/>
        <v>3900</v>
      </c>
      <c r="AC6" s="19">
        <f t="shared" si="7"/>
        <v>0</v>
      </c>
      <c r="AD6" s="19">
        <f t="shared" si="8"/>
        <v>1000</v>
      </c>
      <c r="AE6" s="20">
        <f t="shared" si="9"/>
        <v>39</v>
      </c>
      <c r="AF6" s="21">
        <f t="shared" si="10"/>
        <v>39000</v>
      </c>
      <c r="AG6" s="19">
        <f t="shared" si="11"/>
        <v>0</v>
      </c>
    </row>
    <row r="7" spans="1:33" ht="15" customHeight="1" x14ac:dyDescent="0.25">
      <c r="A7" s="5" t="s">
        <v>751</v>
      </c>
      <c r="B7" s="5">
        <f>BOM!B5</f>
        <v>1</v>
      </c>
      <c r="C7" s="5" t="s">
        <v>1001</v>
      </c>
      <c r="D7" s="14">
        <v>1</v>
      </c>
      <c r="E7" s="14">
        <v>1</v>
      </c>
      <c r="F7" s="14">
        <v>1</v>
      </c>
      <c r="G7" s="14">
        <v>10</v>
      </c>
      <c r="H7" s="14">
        <v>25</v>
      </c>
      <c r="I7" s="14">
        <v>90</v>
      </c>
      <c r="J7" s="14">
        <v>180</v>
      </c>
      <c r="K7" s="14">
        <v>270</v>
      </c>
      <c r="L7" s="14">
        <v>540</v>
      </c>
      <c r="M7" s="14">
        <v>1080</v>
      </c>
      <c r="N7" s="17">
        <v>1.88</v>
      </c>
      <c r="O7" s="17">
        <v>1.762</v>
      </c>
      <c r="P7" s="17">
        <v>1.7116</v>
      </c>
      <c r="Q7" s="17">
        <v>1.6406700000000001</v>
      </c>
      <c r="R7" s="17">
        <v>1.6021700000000001</v>
      </c>
      <c r="S7" s="17">
        <v>1.5797000000000001</v>
      </c>
      <c r="T7" s="17">
        <v>1.5414399999999999</v>
      </c>
      <c r="U7" s="17">
        <v>1.5034799999999999</v>
      </c>
      <c r="V7" s="19">
        <f t="shared" si="0"/>
        <v>10</v>
      </c>
      <c r="W7" s="20">
        <f t="shared" si="1"/>
        <v>1.762</v>
      </c>
      <c r="X7" s="21">
        <f t="shared" si="2"/>
        <v>17.62</v>
      </c>
      <c r="Y7" s="19">
        <f t="shared" si="3"/>
        <v>0</v>
      </c>
      <c r="Z7" s="19">
        <f t="shared" si="4"/>
        <v>100</v>
      </c>
      <c r="AA7" s="20">
        <f t="shared" si="5"/>
        <v>1.6406700000000001</v>
      </c>
      <c r="AB7" s="21">
        <f t="shared" si="6"/>
        <v>164.06700000000001</v>
      </c>
      <c r="AC7" s="19">
        <f t="shared" si="7"/>
        <v>0</v>
      </c>
      <c r="AD7" s="19">
        <f t="shared" si="8"/>
        <v>1000</v>
      </c>
      <c r="AE7" s="20">
        <f t="shared" si="9"/>
        <v>1.5414399999999999</v>
      </c>
      <c r="AF7" s="21">
        <f t="shared" si="10"/>
        <v>1541.4399999999998</v>
      </c>
      <c r="AG7" s="19">
        <f t="shared" si="11"/>
        <v>0</v>
      </c>
    </row>
    <row r="8" spans="1:33" ht="15" customHeight="1" x14ac:dyDescent="0.25">
      <c r="A8" s="5" t="s">
        <v>755</v>
      </c>
      <c r="B8" s="5">
        <f>BOM!B6</f>
        <v>1</v>
      </c>
      <c r="C8" s="5" t="s">
        <v>1001</v>
      </c>
      <c r="D8" s="14">
        <v>1</v>
      </c>
      <c r="E8" s="14">
        <v>1</v>
      </c>
      <c r="F8" s="14">
        <v>10</v>
      </c>
      <c r="G8" s="14">
        <v>100</v>
      </c>
      <c r="H8" s="14">
        <v>1000</v>
      </c>
      <c r="I8" s="14">
        <v>1000000000</v>
      </c>
      <c r="J8" s="14">
        <v>1000000000</v>
      </c>
      <c r="K8" s="14">
        <v>1000000000</v>
      </c>
      <c r="L8" s="14">
        <v>1000000000</v>
      </c>
      <c r="M8" s="14">
        <v>1000000000</v>
      </c>
      <c r="N8" s="17">
        <v>6.7560000000000002</v>
      </c>
      <c r="O8" s="17">
        <v>5.9631999999999996</v>
      </c>
      <c r="P8" s="17">
        <v>4.99</v>
      </c>
      <c r="Q8" s="17">
        <v>4.99</v>
      </c>
      <c r="R8" s="17">
        <v>4.99</v>
      </c>
      <c r="S8" s="17">
        <v>4.99</v>
      </c>
      <c r="T8" s="17">
        <v>4.99</v>
      </c>
      <c r="U8" s="17">
        <v>4.99</v>
      </c>
      <c r="V8" s="19">
        <f t="shared" si="0"/>
        <v>10</v>
      </c>
      <c r="W8" s="20">
        <f t="shared" si="1"/>
        <v>6.7560000000000002</v>
      </c>
      <c r="X8" s="21">
        <f t="shared" si="2"/>
        <v>67.56</v>
      </c>
      <c r="Y8" s="19">
        <f t="shared" si="3"/>
        <v>0</v>
      </c>
      <c r="Z8" s="19">
        <f t="shared" si="4"/>
        <v>100</v>
      </c>
      <c r="AA8" s="20">
        <f t="shared" si="5"/>
        <v>5.9631999999999996</v>
      </c>
      <c r="AB8" s="21">
        <f t="shared" si="6"/>
        <v>596.31999999999994</v>
      </c>
      <c r="AC8" s="19">
        <f t="shared" si="7"/>
        <v>0</v>
      </c>
      <c r="AD8" s="19">
        <f t="shared" si="8"/>
        <v>1000</v>
      </c>
      <c r="AE8" s="20">
        <f t="shared" si="9"/>
        <v>4.99</v>
      </c>
      <c r="AF8" s="21">
        <f t="shared" si="10"/>
        <v>4990</v>
      </c>
      <c r="AG8" s="19">
        <f t="shared" si="11"/>
        <v>0</v>
      </c>
    </row>
    <row r="9" spans="1:33" ht="15" customHeight="1" x14ac:dyDescent="0.25">
      <c r="A9" s="5" t="s">
        <v>758</v>
      </c>
      <c r="B9" s="5">
        <f>BOM!B7</f>
        <v>1</v>
      </c>
      <c r="C9" s="5" t="s">
        <v>1001</v>
      </c>
      <c r="D9" s="14">
        <v>1</v>
      </c>
      <c r="E9" s="14">
        <v>1</v>
      </c>
      <c r="F9" s="14">
        <v>10</v>
      </c>
      <c r="G9" s="14">
        <v>100</v>
      </c>
      <c r="H9" s="14">
        <v>1000</v>
      </c>
      <c r="I9" s="14">
        <v>1000000000</v>
      </c>
      <c r="J9" s="14">
        <v>1000000000</v>
      </c>
      <c r="K9" s="14">
        <v>1000000000</v>
      </c>
      <c r="L9" s="14">
        <v>1000000000</v>
      </c>
      <c r="M9" s="14">
        <v>1000000000</v>
      </c>
      <c r="N9" s="17">
        <v>2.71</v>
      </c>
      <c r="O9" s="17">
        <v>2.35</v>
      </c>
      <c r="P9" s="17">
        <v>2.08</v>
      </c>
      <c r="Q9" s="17">
        <v>2.08</v>
      </c>
      <c r="R9" s="17">
        <v>2.08</v>
      </c>
      <c r="S9" s="17">
        <v>2.08</v>
      </c>
      <c r="T9" s="17">
        <v>2.08</v>
      </c>
      <c r="U9" s="17">
        <v>2.08</v>
      </c>
      <c r="V9" s="19">
        <f t="shared" si="0"/>
        <v>10</v>
      </c>
      <c r="W9" s="20">
        <f t="shared" si="1"/>
        <v>2.71</v>
      </c>
      <c r="X9" s="21">
        <f t="shared" si="2"/>
        <v>27.1</v>
      </c>
      <c r="Y9" s="19">
        <f t="shared" si="3"/>
        <v>0</v>
      </c>
      <c r="Z9" s="19">
        <f t="shared" si="4"/>
        <v>100</v>
      </c>
      <c r="AA9" s="20">
        <f t="shared" si="5"/>
        <v>2.35</v>
      </c>
      <c r="AB9" s="21">
        <f t="shared" si="6"/>
        <v>235</v>
      </c>
      <c r="AC9" s="19">
        <f t="shared" si="7"/>
        <v>0</v>
      </c>
      <c r="AD9" s="19">
        <f t="shared" si="8"/>
        <v>1000</v>
      </c>
      <c r="AE9" s="20">
        <f t="shared" si="9"/>
        <v>2.08</v>
      </c>
      <c r="AF9" s="21">
        <f t="shared" si="10"/>
        <v>2080</v>
      </c>
      <c r="AG9" s="19">
        <f t="shared" si="11"/>
        <v>0</v>
      </c>
    </row>
    <row r="10" spans="1:33" ht="26.25" customHeight="1" x14ac:dyDescent="0.25">
      <c r="A10" s="5" t="s">
        <v>761</v>
      </c>
      <c r="B10" s="5">
        <f>BOM!B8</f>
        <v>1</v>
      </c>
      <c r="C10" s="5" t="s">
        <v>1001</v>
      </c>
      <c r="D10" s="14">
        <v>1</v>
      </c>
      <c r="E10" s="14">
        <v>1</v>
      </c>
      <c r="F10" s="14">
        <v>10</v>
      </c>
      <c r="G10" s="14">
        <v>100</v>
      </c>
      <c r="H10" s="14">
        <v>1000</v>
      </c>
      <c r="I10" s="14">
        <v>1000000000</v>
      </c>
      <c r="J10" s="14">
        <v>1000000000</v>
      </c>
      <c r="K10" s="14">
        <v>1000000000</v>
      </c>
      <c r="L10" s="14">
        <v>1000000000</v>
      </c>
      <c r="M10" s="14">
        <v>1000000000</v>
      </c>
      <c r="N10" s="17">
        <v>2.38</v>
      </c>
      <c r="O10" s="17">
        <v>1.9573</v>
      </c>
      <c r="P10" s="17">
        <v>2.0230000000000001</v>
      </c>
      <c r="Q10" s="17">
        <v>2.0230000000000001</v>
      </c>
      <c r="R10" s="17">
        <v>2.0230000000000001</v>
      </c>
      <c r="S10" s="17">
        <v>2.0230000000000001</v>
      </c>
      <c r="T10" s="17">
        <v>2.0230000000000001</v>
      </c>
      <c r="U10" s="17">
        <v>2.0230000000000001</v>
      </c>
      <c r="V10" s="19">
        <f t="shared" si="0"/>
        <v>10</v>
      </c>
      <c r="W10" s="20">
        <f t="shared" si="1"/>
        <v>2.38</v>
      </c>
      <c r="X10" s="21">
        <f t="shared" si="2"/>
        <v>23.799999999999997</v>
      </c>
      <c r="Y10" s="19">
        <f t="shared" si="3"/>
        <v>0</v>
      </c>
      <c r="Z10" s="19">
        <f t="shared" si="4"/>
        <v>100</v>
      </c>
      <c r="AA10" s="20">
        <f t="shared" si="5"/>
        <v>1.9573</v>
      </c>
      <c r="AB10" s="21">
        <f t="shared" si="6"/>
        <v>195.73000000000002</v>
      </c>
      <c r="AC10" s="19">
        <f t="shared" si="7"/>
        <v>0</v>
      </c>
      <c r="AD10" s="19">
        <f t="shared" si="8"/>
        <v>1000</v>
      </c>
      <c r="AE10" s="20">
        <f t="shared" si="9"/>
        <v>2.0230000000000001</v>
      </c>
      <c r="AF10" s="21">
        <f t="shared" si="10"/>
        <v>2023.0000000000002</v>
      </c>
      <c r="AG10" s="19">
        <f t="shared" si="11"/>
        <v>0</v>
      </c>
    </row>
    <row r="11" spans="1:33" ht="15" customHeight="1" x14ac:dyDescent="0.25">
      <c r="A11" s="5" t="s">
        <v>764</v>
      </c>
      <c r="B11" s="5">
        <f>BOM!B9</f>
        <v>3</v>
      </c>
      <c r="C11" s="5" t="s">
        <v>1001</v>
      </c>
      <c r="D11" s="14">
        <v>1</v>
      </c>
      <c r="E11" s="14">
        <v>1</v>
      </c>
      <c r="F11" s="14">
        <v>10</v>
      </c>
      <c r="G11" s="14">
        <v>100</v>
      </c>
      <c r="H11" s="14">
        <v>1000</v>
      </c>
      <c r="I11" s="14">
        <v>1000000000</v>
      </c>
      <c r="J11" s="14">
        <v>1000000000</v>
      </c>
      <c r="K11" s="14">
        <v>1000000000</v>
      </c>
      <c r="L11" s="14">
        <v>1000000000</v>
      </c>
      <c r="M11" s="14">
        <v>1000000000</v>
      </c>
      <c r="N11" s="17">
        <v>0.623</v>
      </c>
      <c r="O11" s="17">
        <v>0.49299999999999999</v>
      </c>
      <c r="P11" s="17">
        <v>0.40500000000000003</v>
      </c>
      <c r="Q11" s="17">
        <v>0.40500000000000003</v>
      </c>
      <c r="R11" s="17">
        <v>0.40500000000000003</v>
      </c>
      <c r="S11" s="17">
        <v>0.40500000000000003</v>
      </c>
      <c r="T11" s="17">
        <v>0.40500000000000003</v>
      </c>
      <c r="U11" s="17">
        <v>0.40500000000000003</v>
      </c>
      <c r="V11" s="19">
        <f t="shared" si="0"/>
        <v>30</v>
      </c>
      <c r="W11" s="20">
        <f t="shared" si="1"/>
        <v>0.623</v>
      </c>
      <c r="X11" s="21">
        <f t="shared" si="2"/>
        <v>18.690000000000001</v>
      </c>
      <c r="Y11" s="19">
        <f t="shared" si="3"/>
        <v>0</v>
      </c>
      <c r="Z11" s="19">
        <f t="shared" si="4"/>
        <v>300</v>
      </c>
      <c r="AA11" s="20">
        <f t="shared" si="5"/>
        <v>0.49299999999999999</v>
      </c>
      <c r="AB11" s="21">
        <f t="shared" si="6"/>
        <v>147.9</v>
      </c>
      <c r="AC11" s="19">
        <f t="shared" si="7"/>
        <v>0</v>
      </c>
      <c r="AD11" s="19">
        <f t="shared" si="8"/>
        <v>3000</v>
      </c>
      <c r="AE11" s="20">
        <f t="shared" si="9"/>
        <v>0.40500000000000003</v>
      </c>
      <c r="AF11" s="21">
        <f t="shared" si="10"/>
        <v>1215</v>
      </c>
      <c r="AG11" s="19">
        <f t="shared" si="11"/>
        <v>0</v>
      </c>
    </row>
    <row r="12" spans="1:33" ht="15" customHeight="1" x14ac:dyDescent="0.25">
      <c r="A12" s="5" t="s">
        <v>768</v>
      </c>
      <c r="B12" s="5">
        <f>BOM!B10</f>
        <v>3</v>
      </c>
      <c r="C12" s="5" t="s">
        <v>1001</v>
      </c>
      <c r="D12" s="14">
        <v>1</v>
      </c>
      <c r="E12" s="14">
        <v>1</v>
      </c>
      <c r="F12" s="14">
        <v>10</v>
      </c>
      <c r="G12" s="14">
        <v>100</v>
      </c>
      <c r="H12" s="14">
        <v>1000000000</v>
      </c>
      <c r="I12" s="14">
        <v>1000000000</v>
      </c>
      <c r="J12" s="14">
        <v>1000000000</v>
      </c>
      <c r="K12" s="14">
        <v>1000000000</v>
      </c>
      <c r="L12" s="14">
        <v>1000000000</v>
      </c>
      <c r="M12" s="14">
        <v>1000000000</v>
      </c>
      <c r="N12" s="17">
        <v>0.31</v>
      </c>
      <c r="O12" s="17">
        <v>0.2397</v>
      </c>
      <c r="P12" s="17">
        <v>0.2397</v>
      </c>
      <c r="Q12" s="17">
        <v>0.2397</v>
      </c>
      <c r="R12" s="17">
        <v>0.2397</v>
      </c>
      <c r="S12" s="17">
        <v>0.2397</v>
      </c>
      <c r="T12" s="17">
        <v>0.2397</v>
      </c>
      <c r="U12" s="17">
        <v>0.2397</v>
      </c>
      <c r="V12" s="19">
        <f t="shared" si="0"/>
        <v>30</v>
      </c>
      <c r="W12" s="20">
        <f t="shared" si="1"/>
        <v>0.31</v>
      </c>
      <c r="X12" s="21">
        <f t="shared" si="2"/>
        <v>9.3000000000000007</v>
      </c>
      <c r="Y12" s="19">
        <f t="shared" si="3"/>
        <v>0</v>
      </c>
      <c r="Z12" s="19">
        <f t="shared" si="4"/>
        <v>300</v>
      </c>
      <c r="AA12" s="20">
        <f t="shared" si="5"/>
        <v>0.2397</v>
      </c>
      <c r="AB12" s="21">
        <f t="shared" si="6"/>
        <v>71.91</v>
      </c>
      <c r="AC12" s="19">
        <f t="shared" si="7"/>
        <v>0</v>
      </c>
      <c r="AD12" s="19">
        <f t="shared" si="8"/>
        <v>3000</v>
      </c>
      <c r="AE12" s="20">
        <f t="shared" si="9"/>
        <v>0.2397</v>
      </c>
      <c r="AF12" s="21">
        <f t="shared" si="10"/>
        <v>719.1</v>
      </c>
      <c r="AG12" s="19">
        <f t="shared" si="11"/>
        <v>0</v>
      </c>
    </row>
    <row r="13" spans="1:33" ht="15" customHeight="1" x14ac:dyDescent="0.25">
      <c r="A13" s="5" t="s">
        <v>771</v>
      </c>
      <c r="B13" s="5">
        <f>BOM!B11</f>
        <v>1</v>
      </c>
      <c r="C13" s="5" t="s">
        <v>1001</v>
      </c>
      <c r="D13" s="14">
        <v>1</v>
      </c>
      <c r="E13" s="14">
        <v>1</v>
      </c>
      <c r="F13" s="14">
        <v>1</v>
      </c>
      <c r="G13" s="14">
        <v>10</v>
      </c>
      <c r="H13" s="14">
        <v>100</v>
      </c>
      <c r="I13" s="14">
        <v>500</v>
      </c>
      <c r="J13" s="14">
        <v>1000</v>
      </c>
      <c r="K13" s="14">
        <v>1000000000</v>
      </c>
      <c r="L13" s="14">
        <v>1000000000</v>
      </c>
      <c r="M13" s="14">
        <v>1000000000</v>
      </c>
      <c r="N13" s="17">
        <v>0.45</v>
      </c>
      <c r="O13" s="17">
        <v>0.35299999999999998</v>
      </c>
      <c r="P13" s="17">
        <v>0.32</v>
      </c>
      <c r="Q13" s="17">
        <v>0.307</v>
      </c>
      <c r="R13" s="17">
        <v>0.28499999999999998</v>
      </c>
      <c r="S13" s="17">
        <v>0.28499999999999998</v>
      </c>
      <c r="T13" s="17">
        <v>0.28499999999999998</v>
      </c>
      <c r="U13" s="17">
        <v>0.28499999999999998</v>
      </c>
      <c r="V13" s="19">
        <f t="shared" si="0"/>
        <v>10</v>
      </c>
      <c r="W13" s="20">
        <f t="shared" si="1"/>
        <v>0.35299999999999998</v>
      </c>
      <c r="X13" s="21">
        <f t="shared" si="2"/>
        <v>3.53</v>
      </c>
      <c r="Y13" s="19">
        <f t="shared" si="3"/>
        <v>0</v>
      </c>
      <c r="Z13" s="19">
        <f t="shared" si="4"/>
        <v>100</v>
      </c>
      <c r="AA13" s="20">
        <f t="shared" si="5"/>
        <v>0.32</v>
      </c>
      <c r="AB13" s="21">
        <f t="shared" si="6"/>
        <v>32</v>
      </c>
      <c r="AC13" s="19">
        <f t="shared" si="7"/>
        <v>0</v>
      </c>
      <c r="AD13" s="19">
        <f t="shared" si="8"/>
        <v>1000</v>
      </c>
      <c r="AE13" s="20">
        <f t="shared" si="9"/>
        <v>0.28499999999999998</v>
      </c>
      <c r="AF13" s="21">
        <f t="shared" si="10"/>
        <v>285</v>
      </c>
      <c r="AG13" s="19">
        <f t="shared" si="11"/>
        <v>0</v>
      </c>
    </row>
    <row r="14" spans="1:33" ht="15" customHeight="1" x14ac:dyDescent="0.25">
      <c r="A14" s="5" t="s">
        <v>774</v>
      </c>
      <c r="B14" s="5">
        <f>BOM!B12</f>
        <v>2</v>
      </c>
      <c r="C14" s="5" t="s">
        <v>1001</v>
      </c>
      <c r="D14" s="14">
        <v>5</v>
      </c>
      <c r="E14" s="14">
        <v>1</v>
      </c>
      <c r="F14" s="14">
        <v>5</v>
      </c>
      <c r="G14" s="14">
        <v>25</v>
      </c>
      <c r="H14" s="14">
        <v>50</v>
      </c>
      <c r="I14" s="14">
        <v>100</v>
      </c>
      <c r="J14" s="14">
        <v>250</v>
      </c>
      <c r="K14" s="14">
        <v>500</v>
      </c>
      <c r="L14" s="14">
        <v>1000</v>
      </c>
      <c r="M14" s="14">
        <v>1000000000</v>
      </c>
      <c r="N14" s="17">
        <v>12.96</v>
      </c>
      <c r="O14" s="17">
        <v>11.4</v>
      </c>
      <c r="P14" s="17">
        <v>10.88</v>
      </c>
      <c r="Q14" s="17">
        <v>9.8800000000000008</v>
      </c>
      <c r="R14" s="17">
        <v>8.98</v>
      </c>
      <c r="S14" s="17">
        <v>8.59</v>
      </c>
      <c r="T14" s="17">
        <v>8.56</v>
      </c>
      <c r="U14" s="17">
        <v>8.56</v>
      </c>
      <c r="V14" s="19">
        <f t="shared" si="0"/>
        <v>20</v>
      </c>
      <c r="W14" s="20">
        <f t="shared" si="1"/>
        <v>12.96</v>
      </c>
      <c r="X14" s="21">
        <f t="shared" si="2"/>
        <v>259.20000000000005</v>
      </c>
      <c r="Y14" s="19">
        <f t="shared" si="3"/>
        <v>0</v>
      </c>
      <c r="Z14" s="19">
        <f t="shared" si="4"/>
        <v>200</v>
      </c>
      <c r="AA14" s="20">
        <f t="shared" si="5"/>
        <v>9.8800000000000008</v>
      </c>
      <c r="AB14" s="21">
        <f t="shared" si="6"/>
        <v>1976.0000000000002</v>
      </c>
      <c r="AC14" s="19">
        <f t="shared" si="7"/>
        <v>0</v>
      </c>
      <c r="AD14" s="19">
        <f t="shared" si="8"/>
        <v>2000</v>
      </c>
      <c r="AE14" s="20">
        <f t="shared" si="9"/>
        <v>8.56</v>
      </c>
      <c r="AF14" s="21">
        <f t="shared" si="10"/>
        <v>17120</v>
      </c>
      <c r="AG14" s="19">
        <f t="shared" si="11"/>
        <v>0</v>
      </c>
    </row>
    <row r="15" spans="1:33" ht="15" customHeight="1" x14ac:dyDescent="0.25">
      <c r="A15" s="5" t="s">
        <v>779</v>
      </c>
      <c r="B15" s="5">
        <f>BOM!B13</f>
        <v>1</v>
      </c>
      <c r="C15" s="5" t="s">
        <v>1003</v>
      </c>
      <c r="D15" s="14">
        <v>1</v>
      </c>
      <c r="E15" s="14">
        <v>1</v>
      </c>
      <c r="F15" s="14">
        <v>1</v>
      </c>
      <c r="G15" s="14">
        <v>10</v>
      </c>
      <c r="H15" s="14">
        <v>100</v>
      </c>
      <c r="I15" s="14">
        <v>250</v>
      </c>
      <c r="J15" s="14">
        <v>500</v>
      </c>
      <c r="K15" s="14">
        <v>1000</v>
      </c>
      <c r="L15" s="14">
        <v>1000000000</v>
      </c>
      <c r="M15" s="14">
        <v>1000000000</v>
      </c>
      <c r="N15" s="17">
        <v>2.79</v>
      </c>
      <c r="O15" s="17">
        <v>1.89</v>
      </c>
      <c r="P15" s="17">
        <v>1.79</v>
      </c>
      <c r="Q15" s="17">
        <v>1.68</v>
      </c>
      <c r="R15" s="17">
        <v>1.6</v>
      </c>
      <c r="S15" s="17">
        <v>1.51</v>
      </c>
      <c r="T15" s="17">
        <v>1.51</v>
      </c>
      <c r="U15" s="17">
        <v>1.51</v>
      </c>
      <c r="V15" s="19">
        <f t="shared" si="0"/>
        <v>10</v>
      </c>
      <c r="W15" s="20">
        <f t="shared" si="1"/>
        <v>2.1846509999999997</v>
      </c>
      <c r="X15" s="21">
        <f t="shared" si="2"/>
        <v>21.846509999999995</v>
      </c>
      <c r="Y15" s="19">
        <f t="shared" si="3"/>
        <v>0</v>
      </c>
      <c r="Z15" s="19">
        <f t="shared" si="4"/>
        <v>100</v>
      </c>
      <c r="AA15" s="20">
        <f t="shared" si="5"/>
        <v>2.069061</v>
      </c>
      <c r="AB15" s="21">
        <f t="shared" si="6"/>
        <v>206.90610000000001</v>
      </c>
      <c r="AC15" s="19">
        <f t="shared" si="7"/>
        <v>0</v>
      </c>
      <c r="AD15" s="19">
        <f t="shared" si="8"/>
        <v>1000</v>
      </c>
      <c r="AE15" s="20">
        <f t="shared" si="9"/>
        <v>1.745409</v>
      </c>
      <c r="AF15" s="21">
        <f t="shared" si="10"/>
        <v>1745.4089999999999</v>
      </c>
      <c r="AG15" s="19">
        <f t="shared" si="11"/>
        <v>0</v>
      </c>
    </row>
    <row r="16" spans="1:33" ht="15" customHeight="1" x14ac:dyDescent="0.25">
      <c r="A16" s="5" t="s">
        <v>782</v>
      </c>
      <c r="B16" s="5">
        <f>BOM!B14</f>
        <v>5</v>
      </c>
      <c r="C16" s="5" t="s">
        <v>1003</v>
      </c>
      <c r="D16" s="14">
        <v>10</v>
      </c>
      <c r="E16" s="14">
        <v>10</v>
      </c>
      <c r="F16" s="14">
        <v>10</v>
      </c>
      <c r="G16" s="14">
        <v>50</v>
      </c>
      <c r="H16" s="14">
        <v>100</v>
      </c>
      <c r="I16" s="14">
        <v>250</v>
      </c>
      <c r="J16" s="14">
        <v>500</v>
      </c>
      <c r="K16" s="14">
        <v>1000000000</v>
      </c>
      <c r="L16" s="14">
        <v>1000000000</v>
      </c>
      <c r="M16" s="14">
        <v>1000000000</v>
      </c>
      <c r="N16" s="17">
        <v>0.57799999999999996</v>
      </c>
      <c r="O16" s="17">
        <v>0.53900000000000003</v>
      </c>
      <c r="P16" s="17">
        <v>0.50900000000000001</v>
      </c>
      <c r="Q16" s="17">
        <v>0.48</v>
      </c>
      <c r="R16" s="17">
        <v>0.45600000000000002</v>
      </c>
      <c r="S16" s="17">
        <v>0.45600000000000002</v>
      </c>
      <c r="T16" s="17">
        <v>0.45600000000000002</v>
      </c>
      <c r="U16" s="17">
        <v>0.45600000000000002</v>
      </c>
      <c r="V16" s="19">
        <f t="shared" si="0"/>
        <v>50</v>
      </c>
      <c r="W16" s="20">
        <f t="shared" si="1"/>
        <v>0.62303010000000003</v>
      </c>
      <c r="X16" s="21">
        <f t="shared" si="2"/>
        <v>31.151505</v>
      </c>
      <c r="Y16" s="19">
        <f t="shared" si="3"/>
        <v>0</v>
      </c>
      <c r="Z16" s="19">
        <f t="shared" si="4"/>
        <v>500</v>
      </c>
      <c r="AA16" s="20">
        <f t="shared" si="5"/>
        <v>0.52709039999999996</v>
      </c>
      <c r="AB16" s="21">
        <f t="shared" si="6"/>
        <v>263.54519999999997</v>
      </c>
      <c r="AC16" s="19">
        <f t="shared" si="7"/>
        <v>0</v>
      </c>
      <c r="AD16" s="19">
        <f t="shared" si="8"/>
        <v>5000</v>
      </c>
      <c r="AE16" s="20">
        <f t="shared" si="9"/>
        <v>0.52709039999999996</v>
      </c>
      <c r="AF16" s="21">
        <f t="shared" si="10"/>
        <v>2635.4519999999998</v>
      </c>
      <c r="AG16" s="19">
        <f t="shared" si="11"/>
        <v>0</v>
      </c>
    </row>
    <row r="17" spans="1:33" ht="15" customHeight="1" x14ac:dyDescent="0.25">
      <c r="A17" s="5" t="s">
        <v>785</v>
      </c>
      <c r="B17" s="5">
        <f>BOM!B15</f>
        <v>1</v>
      </c>
      <c r="C17" s="5" t="s">
        <v>1001</v>
      </c>
      <c r="D17" s="14">
        <v>1</v>
      </c>
      <c r="E17" s="14">
        <v>1</v>
      </c>
      <c r="F17" s="14">
        <v>1</v>
      </c>
      <c r="G17" s="14">
        <v>1100</v>
      </c>
      <c r="H17" s="14">
        <v>1000000000</v>
      </c>
      <c r="I17" s="14">
        <v>1000000000</v>
      </c>
      <c r="J17" s="14">
        <v>1000000000</v>
      </c>
      <c r="K17" s="14">
        <v>1000000000</v>
      </c>
      <c r="L17" s="14">
        <v>1000000000</v>
      </c>
      <c r="M17" s="14">
        <v>1000000000</v>
      </c>
      <c r="N17" s="17">
        <v>1.5448</v>
      </c>
      <c r="O17" s="17">
        <v>0.97289999999999999</v>
      </c>
      <c r="P17" s="17">
        <v>0.97289999999999999</v>
      </c>
      <c r="Q17" s="17">
        <v>0.97289999999999999</v>
      </c>
      <c r="R17" s="17">
        <v>0.97289999999999999</v>
      </c>
      <c r="S17" s="17">
        <v>0.97289999999999999</v>
      </c>
      <c r="T17" s="17">
        <v>0.97289999999999999</v>
      </c>
      <c r="U17" s="17">
        <v>0.97289999999999999</v>
      </c>
      <c r="V17" s="19">
        <f t="shared" si="0"/>
        <v>10</v>
      </c>
      <c r="W17" s="20">
        <f t="shared" si="1"/>
        <v>1.5448</v>
      </c>
      <c r="X17" s="21">
        <f t="shared" si="2"/>
        <v>15.448</v>
      </c>
      <c r="Y17" s="19">
        <f t="shared" si="3"/>
        <v>0</v>
      </c>
      <c r="Z17" s="19">
        <f t="shared" si="4"/>
        <v>100</v>
      </c>
      <c r="AA17" s="20">
        <f t="shared" si="5"/>
        <v>1.5448</v>
      </c>
      <c r="AB17" s="21">
        <f t="shared" si="6"/>
        <v>154.47999999999999</v>
      </c>
      <c r="AC17" s="19">
        <f t="shared" si="7"/>
        <v>0</v>
      </c>
      <c r="AD17" s="19">
        <f t="shared" si="8"/>
        <v>1000</v>
      </c>
      <c r="AE17" s="20">
        <f t="shared" si="9"/>
        <v>1.5448</v>
      </c>
      <c r="AF17" s="21">
        <f t="shared" si="10"/>
        <v>1544.8</v>
      </c>
      <c r="AG17" s="19">
        <f t="shared" si="11"/>
        <v>0</v>
      </c>
    </row>
    <row r="18" spans="1:33" ht="15" customHeight="1" x14ac:dyDescent="0.25">
      <c r="A18" s="5" t="s">
        <v>909</v>
      </c>
      <c r="B18" s="5">
        <f>BOM!B16</f>
        <v>58</v>
      </c>
      <c r="C18" s="5" t="s">
        <v>1001</v>
      </c>
      <c r="D18" s="14">
        <v>100</v>
      </c>
      <c r="E18" s="14">
        <v>100</v>
      </c>
      <c r="F18" s="14">
        <v>100</v>
      </c>
      <c r="G18" s="14">
        <v>1000</v>
      </c>
      <c r="H18" s="14">
        <v>3000</v>
      </c>
      <c r="I18" s="14">
        <v>10000</v>
      </c>
      <c r="J18" s="14">
        <v>50000</v>
      </c>
      <c r="K18" s="14">
        <v>1000000000</v>
      </c>
      <c r="L18" s="14">
        <v>1000000000</v>
      </c>
      <c r="M18" s="14">
        <v>1000000000</v>
      </c>
      <c r="N18" s="17">
        <v>3.5999999999999999E-3</v>
      </c>
      <c r="O18" s="17">
        <v>2.7000000000000001E-3</v>
      </c>
      <c r="P18" s="17">
        <v>2.3999999999999998E-3</v>
      </c>
      <c r="Q18" s="17">
        <v>2.0999999999999999E-3</v>
      </c>
      <c r="R18" s="17">
        <v>2E-3</v>
      </c>
      <c r="S18" s="17">
        <v>2E-3</v>
      </c>
      <c r="T18" s="17">
        <v>2E-3</v>
      </c>
      <c r="U18" s="17">
        <v>2E-3</v>
      </c>
      <c r="V18" s="19">
        <f t="shared" si="0"/>
        <v>600</v>
      </c>
      <c r="W18" s="20">
        <f t="shared" si="1"/>
        <v>3.5999999999999999E-3</v>
      </c>
      <c r="X18" s="21">
        <f t="shared" si="2"/>
        <v>2.16</v>
      </c>
      <c r="Y18" s="19">
        <f t="shared" si="3"/>
        <v>20</v>
      </c>
      <c r="Z18" s="19">
        <f t="shared" si="4"/>
        <v>5800</v>
      </c>
      <c r="AA18" s="20">
        <f t="shared" si="5"/>
        <v>2.3999999999999998E-3</v>
      </c>
      <c r="AB18" s="21">
        <f t="shared" si="6"/>
        <v>13.919999999999998</v>
      </c>
      <c r="AC18" s="19">
        <f t="shared" si="7"/>
        <v>0</v>
      </c>
      <c r="AD18" s="19">
        <f t="shared" si="8"/>
        <v>58000</v>
      </c>
      <c r="AE18" s="20">
        <f t="shared" si="9"/>
        <v>2E-3</v>
      </c>
      <c r="AF18" s="21">
        <f t="shared" si="10"/>
        <v>116</v>
      </c>
      <c r="AG18" s="19">
        <f t="shared" si="11"/>
        <v>0</v>
      </c>
    </row>
    <row r="19" spans="1:33" ht="15" customHeight="1" x14ac:dyDescent="0.25">
      <c r="A19" s="5" t="s">
        <v>915</v>
      </c>
      <c r="B19" s="5">
        <f>BOM!B17</f>
        <v>2</v>
      </c>
      <c r="C19" s="5" t="s">
        <v>1001</v>
      </c>
      <c r="D19" s="14">
        <v>100</v>
      </c>
      <c r="E19" s="14">
        <v>100</v>
      </c>
      <c r="F19" s="14">
        <v>100</v>
      </c>
      <c r="G19" s="14">
        <v>1000000000</v>
      </c>
      <c r="H19" s="14">
        <v>1000000000</v>
      </c>
      <c r="I19" s="14">
        <v>1000000000</v>
      </c>
      <c r="J19" s="14">
        <v>1000000000</v>
      </c>
      <c r="K19" s="14">
        <v>1000000000</v>
      </c>
      <c r="L19" s="14">
        <v>1000000000</v>
      </c>
      <c r="M19" s="14">
        <v>1000000000</v>
      </c>
      <c r="N19" s="17">
        <v>8.0000000000000002E-3</v>
      </c>
      <c r="O19" s="17">
        <v>8.0000000000000002E-3</v>
      </c>
      <c r="P19" s="17">
        <v>8.0000000000000002E-3</v>
      </c>
      <c r="Q19" s="17">
        <v>8.0000000000000002E-3</v>
      </c>
      <c r="R19" s="17">
        <v>8.0000000000000002E-3</v>
      </c>
      <c r="S19" s="17">
        <v>8.0000000000000002E-3</v>
      </c>
      <c r="T19" s="17">
        <v>8.0000000000000002E-3</v>
      </c>
      <c r="U19" s="17">
        <v>8.0000000000000002E-3</v>
      </c>
      <c r="V19" s="19">
        <f t="shared" si="0"/>
        <v>100</v>
      </c>
      <c r="W19" s="20">
        <f t="shared" si="1"/>
        <v>8.0000000000000002E-3</v>
      </c>
      <c r="X19" s="21">
        <f t="shared" si="2"/>
        <v>0.8</v>
      </c>
      <c r="Y19" s="19">
        <f t="shared" si="3"/>
        <v>80</v>
      </c>
      <c r="Z19" s="19">
        <f t="shared" si="4"/>
        <v>200</v>
      </c>
      <c r="AA19" s="20">
        <f t="shared" si="5"/>
        <v>8.0000000000000002E-3</v>
      </c>
      <c r="AB19" s="21">
        <f t="shared" si="6"/>
        <v>1.6</v>
      </c>
      <c r="AC19" s="19">
        <f t="shared" si="7"/>
        <v>0</v>
      </c>
      <c r="AD19" s="19">
        <f t="shared" si="8"/>
        <v>2000</v>
      </c>
      <c r="AE19" s="20">
        <f t="shared" si="9"/>
        <v>8.0000000000000002E-3</v>
      </c>
      <c r="AF19" s="21">
        <f t="shared" si="10"/>
        <v>16</v>
      </c>
      <c r="AG19" s="19">
        <f t="shared" si="11"/>
        <v>0</v>
      </c>
    </row>
    <row r="20" spans="1:33" ht="15" customHeight="1" x14ac:dyDescent="0.25">
      <c r="A20" s="5" t="s">
        <v>919</v>
      </c>
      <c r="B20" s="5">
        <f>BOM!B18</f>
        <v>1</v>
      </c>
      <c r="C20" s="5" t="s">
        <v>1001</v>
      </c>
      <c r="D20" s="14">
        <v>100</v>
      </c>
      <c r="E20" s="14">
        <v>100</v>
      </c>
      <c r="F20" s="14">
        <v>100</v>
      </c>
      <c r="G20" s="14">
        <v>1000000000</v>
      </c>
      <c r="H20" s="14">
        <v>1000000000</v>
      </c>
      <c r="I20" s="14">
        <v>1000000000</v>
      </c>
      <c r="J20" s="14">
        <v>1000000000</v>
      </c>
      <c r="K20" s="14">
        <v>1000000000</v>
      </c>
      <c r="L20" s="14">
        <v>1000000000</v>
      </c>
      <c r="M20" s="14">
        <v>1000000000</v>
      </c>
      <c r="N20" s="17">
        <v>2.7000000000000001E-3</v>
      </c>
      <c r="O20" s="17">
        <v>2.7000000000000001E-3</v>
      </c>
      <c r="P20" s="17">
        <v>2.7000000000000001E-3</v>
      </c>
      <c r="Q20" s="17">
        <v>2.7000000000000001E-3</v>
      </c>
      <c r="R20" s="17">
        <v>2.7000000000000001E-3</v>
      </c>
      <c r="S20" s="17">
        <v>2.7000000000000001E-3</v>
      </c>
      <c r="T20" s="17">
        <v>2.7000000000000001E-3</v>
      </c>
      <c r="U20" s="17">
        <v>2.7000000000000001E-3</v>
      </c>
      <c r="V20" s="19">
        <f t="shared" si="0"/>
        <v>100</v>
      </c>
      <c r="W20" s="20">
        <f t="shared" si="1"/>
        <v>2.7000000000000001E-3</v>
      </c>
      <c r="X20" s="21">
        <f t="shared" si="2"/>
        <v>0.27</v>
      </c>
      <c r="Y20" s="19">
        <f t="shared" si="3"/>
        <v>90</v>
      </c>
      <c r="Z20" s="19">
        <f t="shared" si="4"/>
        <v>100</v>
      </c>
      <c r="AA20" s="20">
        <f t="shared" si="5"/>
        <v>2.7000000000000001E-3</v>
      </c>
      <c r="AB20" s="21">
        <f t="shared" si="6"/>
        <v>0.27</v>
      </c>
      <c r="AC20" s="19">
        <f t="shared" si="7"/>
        <v>0</v>
      </c>
      <c r="AD20" s="19">
        <f t="shared" si="8"/>
        <v>1000</v>
      </c>
      <c r="AE20" s="20">
        <f t="shared" si="9"/>
        <v>2.7000000000000001E-3</v>
      </c>
      <c r="AF20" s="21">
        <f t="shared" si="10"/>
        <v>2.7</v>
      </c>
      <c r="AG20" s="19">
        <f t="shared" si="11"/>
        <v>0</v>
      </c>
    </row>
    <row r="21" spans="1:33" ht="15" customHeight="1" x14ac:dyDescent="0.25">
      <c r="A21" s="5" t="s">
        <v>923</v>
      </c>
      <c r="B21" s="5">
        <f>BOM!B19</f>
        <v>3</v>
      </c>
      <c r="C21" s="5" t="s">
        <v>1001</v>
      </c>
      <c r="D21" s="14">
        <v>100</v>
      </c>
      <c r="E21" s="14">
        <v>100</v>
      </c>
      <c r="F21" s="14">
        <v>100</v>
      </c>
      <c r="G21" s="14">
        <v>1000000000</v>
      </c>
      <c r="H21" s="14">
        <v>1000000000</v>
      </c>
      <c r="I21" s="14">
        <v>1000000000</v>
      </c>
      <c r="J21" s="14">
        <v>1000000000</v>
      </c>
      <c r="K21" s="14">
        <v>1000000000</v>
      </c>
      <c r="L21" s="14">
        <v>1000000000</v>
      </c>
      <c r="M21" s="14">
        <v>1000000000</v>
      </c>
      <c r="N21" s="17">
        <v>9.7000000000000003E-3</v>
      </c>
      <c r="O21" s="17">
        <v>9.7000000000000003E-3</v>
      </c>
      <c r="P21" s="17">
        <v>9.7000000000000003E-3</v>
      </c>
      <c r="Q21" s="17">
        <v>9.7000000000000003E-3</v>
      </c>
      <c r="R21" s="17">
        <v>9.7000000000000003E-3</v>
      </c>
      <c r="S21" s="17">
        <v>9.7000000000000003E-3</v>
      </c>
      <c r="T21" s="17">
        <v>9.7000000000000003E-3</v>
      </c>
      <c r="U21" s="17">
        <v>9.7000000000000003E-3</v>
      </c>
      <c r="V21" s="19">
        <f t="shared" si="0"/>
        <v>100</v>
      </c>
      <c r="W21" s="20">
        <f t="shared" si="1"/>
        <v>9.7000000000000003E-3</v>
      </c>
      <c r="X21" s="21">
        <f t="shared" si="2"/>
        <v>0.97</v>
      </c>
      <c r="Y21" s="19">
        <f t="shared" si="3"/>
        <v>70</v>
      </c>
      <c r="Z21" s="19">
        <f t="shared" si="4"/>
        <v>300</v>
      </c>
      <c r="AA21" s="20">
        <f t="shared" si="5"/>
        <v>9.7000000000000003E-3</v>
      </c>
      <c r="AB21" s="21">
        <f t="shared" si="6"/>
        <v>2.91</v>
      </c>
      <c r="AC21" s="19">
        <f t="shared" si="7"/>
        <v>0</v>
      </c>
      <c r="AD21" s="19">
        <f t="shared" si="8"/>
        <v>3000</v>
      </c>
      <c r="AE21" s="20">
        <f t="shared" si="9"/>
        <v>9.7000000000000003E-3</v>
      </c>
      <c r="AF21" s="21">
        <f t="shared" si="10"/>
        <v>29.1</v>
      </c>
      <c r="AG21" s="19">
        <f t="shared" si="11"/>
        <v>0</v>
      </c>
    </row>
    <row r="22" spans="1:33" ht="15" customHeight="1" x14ac:dyDescent="0.25">
      <c r="A22" s="5" t="s">
        <v>928</v>
      </c>
      <c r="B22" s="5">
        <f>BOM!B20</f>
        <v>2</v>
      </c>
      <c r="C22" s="5" t="s">
        <v>1001</v>
      </c>
      <c r="D22" s="14">
        <v>1</v>
      </c>
      <c r="E22" s="14">
        <v>1</v>
      </c>
      <c r="F22" s="14">
        <v>1</v>
      </c>
      <c r="G22" s="14">
        <v>4000</v>
      </c>
      <c r="H22" s="14">
        <v>8000</v>
      </c>
      <c r="I22" s="14">
        <v>1000000000</v>
      </c>
      <c r="J22" s="14">
        <v>1000000000</v>
      </c>
      <c r="K22" s="14">
        <v>1000000000</v>
      </c>
      <c r="L22" s="14">
        <v>1000000000</v>
      </c>
      <c r="M22" s="14">
        <v>1000000000</v>
      </c>
      <c r="N22" s="17">
        <v>0.39</v>
      </c>
      <c r="O22" s="17">
        <v>9.2999999999999999E-2</v>
      </c>
      <c r="P22" s="17">
        <v>9.1399999999999995E-2</v>
      </c>
      <c r="Q22" s="17">
        <v>9.1399999999999995E-2</v>
      </c>
      <c r="R22" s="17">
        <v>9.1399999999999995E-2</v>
      </c>
      <c r="S22" s="17">
        <v>9.1399999999999995E-2</v>
      </c>
      <c r="T22" s="17">
        <v>9.1399999999999995E-2</v>
      </c>
      <c r="U22" s="17">
        <v>9.1399999999999995E-2</v>
      </c>
      <c r="V22" s="19">
        <f t="shared" si="0"/>
        <v>20</v>
      </c>
      <c r="W22" s="20">
        <f t="shared" si="1"/>
        <v>0.39</v>
      </c>
      <c r="X22" s="21">
        <f t="shared" si="2"/>
        <v>7.8000000000000007</v>
      </c>
      <c r="Y22" s="19">
        <f t="shared" si="3"/>
        <v>0</v>
      </c>
      <c r="Z22" s="19">
        <f t="shared" si="4"/>
        <v>200</v>
      </c>
      <c r="AA22" s="20">
        <f t="shared" si="5"/>
        <v>0.39</v>
      </c>
      <c r="AB22" s="21">
        <f t="shared" si="6"/>
        <v>78</v>
      </c>
      <c r="AC22" s="19">
        <f t="shared" si="7"/>
        <v>0</v>
      </c>
      <c r="AD22" s="19">
        <f t="shared" si="8"/>
        <v>2000</v>
      </c>
      <c r="AE22" s="20">
        <f t="shared" si="9"/>
        <v>0.39</v>
      </c>
      <c r="AF22" s="21">
        <f t="shared" si="10"/>
        <v>780</v>
      </c>
      <c r="AG22" s="19">
        <f t="shared" si="11"/>
        <v>0</v>
      </c>
    </row>
    <row r="23" spans="1:33" ht="15" customHeight="1" x14ac:dyDescent="0.25">
      <c r="A23" s="5" t="s">
        <v>932</v>
      </c>
      <c r="B23" s="5">
        <f>BOM!B21</f>
        <v>1</v>
      </c>
      <c r="C23" s="5" t="s">
        <v>1001</v>
      </c>
      <c r="D23" s="14">
        <v>100</v>
      </c>
      <c r="E23" s="14">
        <v>100</v>
      </c>
      <c r="F23" s="14">
        <v>100</v>
      </c>
      <c r="G23" s="14">
        <v>1000000000</v>
      </c>
      <c r="H23" s="14">
        <v>1000000000</v>
      </c>
      <c r="I23" s="14">
        <v>1000000000</v>
      </c>
      <c r="J23" s="14">
        <v>1000000000</v>
      </c>
      <c r="K23" s="14">
        <v>1000000000</v>
      </c>
      <c r="L23" s="14">
        <v>1000000000</v>
      </c>
      <c r="M23" s="14">
        <v>1000000000</v>
      </c>
      <c r="N23" s="17">
        <v>4.6300000000000001E-2</v>
      </c>
      <c r="O23" s="17">
        <v>4.6300000000000001E-2</v>
      </c>
      <c r="P23" s="17">
        <v>4.6300000000000001E-2</v>
      </c>
      <c r="Q23" s="17">
        <v>4.6300000000000001E-2</v>
      </c>
      <c r="R23" s="17">
        <v>4.6300000000000001E-2</v>
      </c>
      <c r="S23" s="17">
        <v>4.6300000000000001E-2</v>
      </c>
      <c r="T23" s="17">
        <v>4.6300000000000001E-2</v>
      </c>
      <c r="U23" s="17">
        <v>4.6300000000000001E-2</v>
      </c>
      <c r="V23" s="19">
        <f t="shared" si="0"/>
        <v>100</v>
      </c>
      <c r="W23" s="20">
        <f t="shared" si="1"/>
        <v>4.6300000000000001E-2</v>
      </c>
      <c r="X23" s="21">
        <f t="shared" si="2"/>
        <v>4.63</v>
      </c>
      <c r="Y23" s="19">
        <f t="shared" si="3"/>
        <v>90</v>
      </c>
      <c r="Z23" s="19">
        <f t="shared" si="4"/>
        <v>100</v>
      </c>
      <c r="AA23" s="20">
        <f t="shared" si="5"/>
        <v>4.6300000000000001E-2</v>
      </c>
      <c r="AB23" s="21">
        <f t="shared" si="6"/>
        <v>4.63</v>
      </c>
      <c r="AC23" s="19">
        <f t="shared" si="7"/>
        <v>0</v>
      </c>
      <c r="AD23" s="19">
        <f t="shared" si="8"/>
        <v>1000</v>
      </c>
      <c r="AE23" s="20">
        <f t="shared" si="9"/>
        <v>4.6300000000000001E-2</v>
      </c>
      <c r="AF23" s="21">
        <f t="shared" si="10"/>
        <v>46.300000000000004</v>
      </c>
      <c r="AG23" s="19">
        <f t="shared" si="11"/>
        <v>0</v>
      </c>
    </row>
    <row r="24" spans="1:33" ht="15" customHeight="1" x14ac:dyDescent="0.25">
      <c r="A24" s="5" t="s">
        <v>937</v>
      </c>
      <c r="B24" s="5">
        <f>BOM!B22</f>
        <v>3</v>
      </c>
      <c r="C24" s="5" t="s">
        <v>1001</v>
      </c>
      <c r="D24" s="14">
        <v>100</v>
      </c>
      <c r="E24" s="14">
        <v>100</v>
      </c>
      <c r="F24" s="14">
        <v>100</v>
      </c>
      <c r="G24" s="14">
        <v>1000000000</v>
      </c>
      <c r="H24" s="14">
        <v>1000000000</v>
      </c>
      <c r="I24" s="14">
        <v>1000000000</v>
      </c>
      <c r="J24" s="14">
        <v>1000000000</v>
      </c>
      <c r="K24" s="14">
        <v>1000000000</v>
      </c>
      <c r="L24" s="14">
        <v>1000000000</v>
      </c>
      <c r="M24" s="14">
        <v>1000000000</v>
      </c>
      <c r="N24" s="17">
        <v>4.6300000000000001E-2</v>
      </c>
      <c r="O24" s="17">
        <v>4.6300000000000001E-2</v>
      </c>
      <c r="P24" s="17">
        <v>4.6300000000000001E-2</v>
      </c>
      <c r="Q24" s="17">
        <v>4.6300000000000001E-2</v>
      </c>
      <c r="R24" s="17">
        <v>4.6300000000000001E-2</v>
      </c>
      <c r="S24" s="17">
        <v>4.6300000000000001E-2</v>
      </c>
      <c r="T24" s="17">
        <v>4.6300000000000001E-2</v>
      </c>
      <c r="U24" s="17">
        <v>4.6300000000000001E-2</v>
      </c>
      <c r="V24" s="19">
        <f t="shared" si="0"/>
        <v>100</v>
      </c>
      <c r="W24" s="20">
        <f t="shared" si="1"/>
        <v>4.6300000000000001E-2</v>
      </c>
      <c r="X24" s="21">
        <f t="shared" si="2"/>
        <v>4.63</v>
      </c>
      <c r="Y24" s="19">
        <f t="shared" si="3"/>
        <v>70</v>
      </c>
      <c r="Z24" s="19">
        <f t="shared" si="4"/>
        <v>300</v>
      </c>
      <c r="AA24" s="20">
        <f t="shared" si="5"/>
        <v>4.6300000000000001E-2</v>
      </c>
      <c r="AB24" s="21">
        <f t="shared" si="6"/>
        <v>13.89</v>
      </c>
      <c r="AC24" s="19">
        <f t="shared" si="7"/>
        <v>0</v>
      </c>
      <c r="AD24" s="19">
        <f t="shared" si="8"/>
        <v>3000</v>
      </c>
      <c r="AE24" s="20">
        <f t="shared" si="9"/>
        <v>4.6300000000000001E-2</v>
      </c>
      <c r="AF24" s="21">
        <f t="shared" si="10"/>
        <v>138.9</v>
      </c>
      <c r="AG24" s="19">
        <f t="shared" si="11"/>
        <v>0</v>
      </c>
    </row>
    <row r="25" spans="1:33" x14ac:dyDescent="0.25">
      <c r="A25" s="1" t="s">
        <v>942</v>
      </c>
      <c r="B25" s="1">
        <f>BOM!B23</f>
        <v>1</v>
      </c>
      <c r="C25" s="1" t="s">
        <v>1001</v>
      </c>
      <c r="D25" s="1">
        <v>100</v>
      </c>
      <c r="E25" s="1">
        <v>100</v>
      </c>
      <c r="F25" s="1">
        <v>100</v>
      </c>
      <c r="G25" s="1">
        <v>1000</v>
      </c>
      <c r="H25" s="1">
        <v>3000</v>
      </c>
      <c r="I25" s="1">
        <v>10000</v>
      </c>
      <c r="J25" s="1">
        <v>50000</v>
      </c>
      <c r="K25" s="1">
        <v>1000000000</v>
      </c>
      <c r="L25" s="1">
        <v>1000000000</v>
      </c>
      <c r="M25" s="1">
        <v>1000000000</v>
      </c>
      <c r="N25" s="1">
        <v>2.2000000000000001E-3</v>
      </c>
      <c r="O25" s="1">
        <v>1.6999999999999999E-3</v>
      </c>
      <c r="P25" s="1">
        <v>1.4E-3</v>
      </c>
      <c r="Q25" s="1">
        <v>1.2999999999999999E-3</v>
      </c>
      <c r="R25" s="1">
        <v>1.1000000000000001E-3</v>
      </c>
      <c r="S25" s="1">
        <v>1.1000000000000001E-3</v>
      </c>
      <c r="T25" s="1">
        <v>1.1000000000000001E-3</v>
      </c>
      <c r="U25" s="1">
        <v>1.1000000000000001E-3</v>
      </c>
      <c r="V25" s="1">
        <f t="shared" si="0"/>
        <v>100</v>
      </c>
      <c r="W25" s="1">
        <f t="shared" si="1"/>
        <v>2.2000000000000001E-3</v>
      </c>
      <c r="X25" s="1">
        <f t="shared" si="2"/>
        <v>0.22</v>
      </c>
      <c r="Y25" s="1">
        <f t="shared" si="3"/>
        <v>90</v>
      </c>
      <c r="Z25" s="1">
        <f t="shared" si="4"/>
        <v>100</v>
      </c>
      <c r="AA25" s="1">
        <f t="shared" si="5"/>
        <v>2.2000000000000001E-3</v>
      </c>
      <c r="AB25" s="1">
        <f t="shared" si="6"/>
        <v>0.22</v>
      </c>
      <c r="AC25" s="1">
        <f t="shared" si="7"/>
        <v>0</v>
      </c>
      <c r="AD25" s="1">
        <f t="shared" si="8"/>
        <v>1000</v>
      </c>
      <c r="AE25" s="1">
        <f t="shared" si="9"/>
        <v>1.6999999999999999E-3</v>
      </c>
      <c r="AF25" s="1">
        <f t="shared" si="10"/>
        <v>1.7</v>
      </c>
      <c r="AG25" s="1">
        <f t="shared" si="11"/>
        <v>0</v>
      </c>
    </row>
    <row r="26" spans="1:33" ht="27" customHeight="1" x14ac:dyDescent="0.25">
      <c r="A26" s="4" t="s">
        <v>945</v>
      </c>
      <c r="B26" s="4">
        <f>BOM!B24</f>
        <v>1</v>
      </c>
      <c r="C26" s="4" t="s">
        <v>1001</v>
      </c>
      <c r="D26" s="4">
        <v>100</v>
      </c>
      <c r="E26" s="7">
        <v>100</v>
      </c>
      <c r="F26" s="7">
        <v>100</v>
      </c>
      <c r="G26" s="1">
        <v>1000</v>
      </c>
      <c r="H26" s="1">
        <v>3000</v>
      </c>
      <c r="I26" s="1">
        <v>10000</v>
      </c>
      <c r="J26" s="1">
        <v>50000</v>
      </c>
      <c r="K26" s="1">
        <v>1000000000</v>
      </c>
      <c r="L26" s="1">
        <v>1000000000</v>
      </c>
      <c r="M26" s="1">
        <v>1000000000</v>
      </c>
      <c r="N26" s="1">
        <v>2.2000000000000001E-3</v>
      </c>
      <c r="O26" s="1">
        <v>1.6999999999999999E-3</v>
      </c>
      <c r="P26" s="1">
        <v>1.4E-3</v>
      </c>
      <c r="Q26" s="1">
        <v>1.2999999999999999E-3</v>
      </c>
      <c r="R26" s="1">
        <v>1.1000000000000001E-3</v>
      </c>
      <c r="S26" s="1">
        <v>1.1000000000000001E-3</v>
      </c>
      <c r="T26" s="1">
        <v>1.1000000000000001E-3</v>
      </c>
      <c r="U26" s="1">
        <v>1.1000000000000001E-3</v>
      </c>
      <c r="V26" s="1">
        <f t="shared" si="0"/>
        <v>100</v>
      </c>
      <c r="W26" s="1">
        <f t="shared" si="1"/>
        <v>2.2000000000000001E-3</v>
      </c>
      <c r="X26" s="1">
        <f t="shared" si="2"/>
        <v>0.22</v>
      </c>
      <c r="Y26" s="1">
        <f t="shared" si="3"/>
        <v>90</v>
      </c>
      <c r="Z26" s="1">
        <f t="shared" si="4"/>
        <v>100</v>
      </c>
      <c r="AA26" s="1">
        <f t="shared" si="5"/>
        <v>2.2000000000000001E-3</v>
      </c>
      <c r="AB26" s="1">
        <f t="shared" si="6"/>
        <v>0.22</v>
      </c>
      <c r="AC26" s="1">
        <f t="shared" si="7"/>
        <v>0</v>
      </c>
      <c r="AD26" s="1">
        <f t="shared" si="8"/>
        <v>1000</v>
      </c>
      <c r="AE26" s="1">
        <f t="shared" si="9"/>
        <v>1.6999999999999999E-3</v>
      </c>
      <c r="AF26" s="1">
        <f t="shared" si="10"/>
        <v>1.7</v>
      </c>
      <c r="AG26" s="1">
        <f t="shared" si="11"/>
        <v>0</v>
      </c>
    </row>
    <row r="27" spans="1:33" ht="18" customHeight="1" x14ac:dyDescent="0.25">
      <c r="A27" s="14" t="s">
        <v>950</v>
      </c>
      <c r="B27" s="22">
        <f>BOM!B25</f>
        <v>16</v>
      </c>
      <c r="C27" s="23" t="s">
        <v>1001</v>
      </c>
      <c r="D27" s="5">
        <v>100</v>
      </c>
      <c r="E27" s="24">
        <v>100</v>
      </c>
      <c r="F27" s="24">
        <v>100</v>
      </c>
      <c r="G27" s="1">
        <v>1000</v>
      </c>
      <c r="H27" s="1">
        <v>3000</v>
      </c>
      <c r="I27" s="1">
        <v>10000</v>
      </c>
      <c r="J27" s="1">
        <v>50000</v>
      </c>
      <c r="K27" s="1">
        <v>1000000000</v>
      </c>
      <c r="L27" s="1">
        <v>1000000000</v>
      </c>
      <c r="M27" s="1">
        <v>1000000000</v>
      </c>
      <c r="N27" s="1">
        <v>1.2999999999999999E-3</v>
      </c>
      <c r="O27" s="1">
        <v>1.1000000000000001E-3</v>
      </c>
      <c r="P27" s="1">
        <v>1E-3</v>
      </c>
      <c r="Q27" s="1">
        <v>8.9999999999999998E-4</v>
      </c>
      <c r="R27" s="1">
        <v>8.0000000000000004E-4</v>
      </c>
      <c r="S27" s="1">
        <v>8.0000000000000004E-4</v>
      </c>
      <c r="T27" s="1">
        <v>8.0000000000000004E-4</v>
      </c>
      <c r="U27" s="1">
        <v>8.0000000000000004E-4</v>
      </c>
      <c r="V27" s="1">
        <f t="shared" si="0"/>
        <v>200</v>
      </c>
      <c r="W27" s="1">
        <f t="shared" si="1"/>
        <v>1.2999999999999999E-3</v>
      </c>
      <c r="X27" s="1">
        <f t="shared" si="2"/>
        <v>0.26</v>
      </c>
      <c r="Y27" s="1">
        <f t="shared" si="3"/>
        <v>40</v>
      </c>
      <c r="Z27" s="1">
        <f t="shared" si="4"/>
        <v>1600</v>
      </c>
      <c r="AA27" s="1">
        <f t="shared" si="5"/>
        <v>1.1000000000000001E-3</v>
      </c>
      <c r="AB27" s="1">
        <f t="shared" si="6"/>
        <v>1.76</v>
      </c>
      <c r="AC27" s="1">
        <f t="shared" si="7"/>
        <v>0</v>
      </c>
      <c r="AD27" s="1">
        <f t="shared" si="8"/>
        <v>16000</v>
      </c>
      <c r="AE27" s="1">
        <f t="shared" si="9"/>
        <v>8.9999999999999998E-4</v>
      </c>
      <c r="AF27" s="1">
        <f t="shared" si="10"/>
        <v>14.4</v>
      </c>
      <c r="AG27" s="1">
        <f t="shared" si="11"/>
        <v>0</v>
      </c>
    </row>
    <row r="28" spans="1:33" ht="18.75" customHeight="1" x14ac:dyDescent="0.25">
      <c r="A28" s="14" t="s">
        <v>953</v>
      </c>
      <c r="B28" s="22">
        <f>BOM!B26</f>
        <v>2</v>
      </c>
      <c r="C28" s="23" t="s">
        <v>1001</v>
      </c>
      <c r="D28" s="5">
        <v>100</v>
      </c>
      <c r="E28" s="24">
        <v>100</v>
      </c>
      <c r="F28" s="24">
        <v>100</v>
      </c>
      <c r="G28" s="1">
        <v>1000</v>
      </c>
      <c r="H28" s="1">
        <v>3000</v>
      </c>
      <c r="I28" s="1">
        <v>10000</v>
      </c>
      <c r="J28" s="1">
        <v>50000</v>
      </c>
      <c r="K28" s="1">
        <v>1000000000</v>
      </c>
      <c r="L28" s="1">
        <v>1000000000</v>
      </c>
      <c r="M28" s="1">
        <v>1000000000</v>
      </c>
      <c r="N28" s="1">
        <v>2.8E-3</v>
      </c>
      <c r="O28" s="1">
        <v>2.5000000000000001E-3</v>
      </c>
      <c r="P28" s="1">
        <v>2.3999999999999998E-3</v>
      </c>
      <c r="Q28" s="1">
        <v>2.3E-3</v>
      </c>
      <c r="R28" s="1">
        <v>2.2000000000000001E-3</v>
      </c>
      <c r="S28" s="1">
        <v>2.2000000000000001E-3</v>
      </c>
      <c r="T28" s="1">
        <v>2.2000000000000001E-3</v>
      </c>
      <c r="U28" s="1">
        <v>2.2000000000000001E-3</v>
      </c>
      <c r="V28" s="1">
        <f t="shared" si="0"/>
        <v>100</v>
      </c>
      <c r="W28" s="1">
        <f t="shared" si="1"/>
        <v>2.8E-3</v>
      </c>
      <c r="X28" s="1">
        <f t="shared" si="2"/>
        <v>0.27999999999999997</v>
      </c>
      <c r="Y28" s="1">
        <f t="shared" si="3"/>
        <v>80</v>
      </c>
      <c r="Z28" s="1">
        <f t="shared" si="4"/>
        <v>200</v>
      </c>
      <c r="AA28" s="1">
        <f t="shared" si="5"/>
        <v>2.8E-3</v>
      </c>
      <c r="AB28" s="1">
        <f t="shared" si="6"/>
        <v>0.55999999999999994</v>
      </c>
      <c r="AC28" s="1">
        <f t="shared" si="7"/>
        <v>0</v>
      </c>
      <c r="AD28" s="1">
        <f t="shared" si="8"/>
        <v>2000</v>
      </c>
      <c r="AE28" s="1">
        <f t="shared" si="9"/>
        <v>2.5000000000000001E-3</v>
      </c>
      <c r="AF28" s="1">
        <f t="shared" si="10"/>
        <v>5</v>
      </c>
      <c r="AG28" s="1">
        <f t="shared" si="11"/>
        <v>0</v>
      </c>
    </row>
    <row r="29" spans="1:33" ht="19.5" customHeight="1" x14ac:dyDescent="0.25">
      <c r="A29" s="14" t="s">
        <v>956</v>
      </c>
      <c r="B29" s="22">
        <f>BOM!B27</f>
        <v>4</v>
      </c>
      <c r="C29" s="23" t="s">
        <v>1001</v>
      </c>
      <c r="D29" s="5">
        <v>100</v>
      </c>
      <c r="E29" s="24">
        <v>100</v>
      </c>
      <c r="F29" s="24">
        <v>100</v>
      </c>
      <c r="G29" s="1">
        <v>1000</v>
      </c>
      <c r="H29" s="1">
        <v>3000</v>
      </c>
      <c r="I29" s="1">
        <v>10000</v>
      </c>
      <c r="J29" s="1">
        <v>50000</v>
      </c>
      <c r="K29" s="1">
        <v>1000000000</v>
      </c>
      <c r="L29" s="1">
        <v>1000000000</v>
      </c>
      <c r="M29" s="1">
        <v>1000000000</v>
      </c>
      <c r="N29" s="1">
        <v>2.8999999999999998E-3</v>
      </c>
      <c r="O29" s="1">
        <v>2.2000000000000001E-3</v>
      </c>
      <c r="P29" s="1">
        <v>1.9E-3</v>
      </c>
      <c r="Q29" s="1">
        <v>1.6999999999999999E-3</v>
      </c>
      <c r="R29" s="1">
        <v>1.5E-3</v>
      </c>
      <c r="S29" s="1">
        <v>1.5E-3</v>
      </c>
      <c r="T29" s="1">
        <v>1.5E-3</v>
      </c>
      <c r="U29" s="1">
        <v>1.5E-3</v>
      </c>
      <c r="V29" s="1">
        <f t="shared" si="0"/>
        <v>100</v>
      </c>
      <c r="W29" s="1">
        <f t="shared" si="1"/>
        <v>2.8999999999999998E-3</v>
      </c>
      <c r="X29" s="1">
        <f t="shared" si="2"/>
        <v>0.28999999999999998</v>
      </c>
      <c r="Y29" s="1">
        <f t="shared" si="3"/>
        <v>60</v>
      </c>
      <c r="Z29" s="1">
        <f t="shared" si="4"/>
        <v>400</v>
      </c>
      <c r="AA29" s="1">
        <f t="shared" si="5"/>
        <v>2.8999999999999998E-3</v>
      </c>
      <c r="AB29" s="1">
        <f t="shared" si="6"/>
        <v>1.1599999999999999</v>
      </c>
      <c r="AC29" s="1">
        <f t="shared" si="7"/>
        <v>0</v>
      </c>
      <c r="AD29" s="1">
        <f t="shared" si="8"/>
        <v>4000</v>
      </c>
      <c r="AE29" s="1">
        <f t="shared" si="9"/>
        <v>1.9E-3</v>
      </c>
      <c r="AF29" s="1">
        <f t="shared" si="10"/>
        <v>7.6</v>
      </c>
      <c r="AG29" s="1">
        <f t="shared" si="11"/>
        <v>0</v>
      </c>
    </row>
    <row r="30" spans="1:33" x14ac:dyDescent="0.25">
      <c r="A30" s="1" t="s">
        <v>959</v>
      </c>
      <c r="B30" s="1">
        <f>BOM!B28</f>
        <v>9</v>
      </c>
      <c r="C30" s="1" t="s">
        <v>1001</v>
      </c>
      <c r="D30" s="1">
        <v>100</v>
      </c>
      <c r="E30" s="1">
        <v>100</v>
      </c>
      <c r="F30" s="1">
        <v>100</v>
      </c>
      <c r="G30" s="1">
        <v>1000</v>
      </c>
      <c r="H30" s="1">
        <v>3000</v>
      </c>
      <c r="I30" s="1">
        <v>10000</v>
      </c>
      <c r="J30" s="1">
        <v>50000</v>
      </c>
      <c r="K30" s="1">
        <v>1000000000</v>
      </c>
      <c r="L30" s="1">
        <v>1000000000</v>
      </c>
      <c r="M30" s="1">
        <v>1000000000</v>
      </c>
      <c r="N30" s="1">
        <v>3.2000000000000002E-3</v>
      </c>
      <c r="O30" s="1">
        <v>2.7000000000000001E-3</v>
      </c>
      <c r="P30" s="1">
        <v>2.5000000000000001E-3</v>
      </c>
      <c r="Q30" s="1">
        <v>2.3E-3</v>
      </c>
      <c r="R30" s="1">
        <v>2.2000000000000001E-3</v>
      </c>
      <c r="S30" s="1">
        <v>2.2000000000000001E-3</v>
      </c>
      <c r="T30" s="1">
        <v>2.2000000000000001E-3</v>
      </c>
      <c r="U30" s="1">
        <v>2.2000000000000001E-3</v>
      </c>
      <c r="V30" s="1">
        <f t="shared" si="0"/>
        <v>100</v>
      </c>
      <c r="W30" s="1">
        <f t="shared" si="1"/>
        <v>3.2000000000000002E-3</v>
      </c>
      <c r="X30" s="1">
        <f t="shared" si="2"/>
        <v>0.32</v>
      </c>
      <c r="Y30" s="1">
        <f t="shared" si="3"/>
        <v>10</v>
      </c>
      <c r="Z30" s="1">
        <f t="shared" si="4"/>
        <v>900</v>
      </c>
      <c r="AA30" s="1">
        <f t="shared" si="5"/>
        <v>3.2000000000000002E-3</v>
      </c>
      <c r="AB30" s="1">
        <f t="shared" si="6"/>
        <v>2.8800000000000003</v>
      </c>
      <c r="AC30" s="1">
        <f t="shared" si="7"/>
        <v>0</v>
      </c>
      <c r="AD30" s="1">
        <f t="shared" si="8"/>
        <v>9000</v>
      </c>
      <c r="AE30" s="1">
        <f t="shared" si="9"/>
        <v>2.5000000000000001E-3</v>
      </c>
      <c r="AF30" s="1">
        <f t="shared" si="10"/>
        <v>22.5</v>
      </c>
      <c r="AG30" s="1">
        <f t="shared" si="11"/>
        <v>0</v>
      </c>
    </row>
    <row r="31" spans="1:33" x14ac:dyDescent="0.25">
      <c r="A31" s="1" t="s">
        <v>962</v>
      </c>
      <c r="B31" s="1">
        <f>BOM!B29</f>
        <v>4</v>
      </c>
      <c r="C31" s="1" t="s">
        <v>1001</v>
      </c>
      <c r="D31" s="1">
        <v>100</v>
      </c>
      <c r="E31" s="1">
        <v>100</v>
      </c>
      <c r="F31" s="1">
        <v>100</v>
      </c>
      <c r="G31" s="1">
        <v>1000</v>
      </c>
      <c r="H31" s="1">
        <v>3000</v>
      </c>
      <c r="I31" s="1">
        <v>10000</v>
      </c>
      <c r="J31" s="1">
        <v>50000</v>
      </c>
      <c r="K31" s="1">
        <v>1000000000</v>
      </c>
      <c r="L31" s="1">
        <v>1000000000</v>
      </c>
      <c r="M31" s="1">
        <v>1000000000</v>
      </c>
      <c r="N31" s="1">
        <v>2.3E-3</v>
      </c>
      <c r="O31" s="1">
        <v>1.9E-3</v>
      </c>
      <c r="P31" s="1">
        <v>1.6000000000000001E-3</v>
      </c>
      <c r="Q31" s="1">
        <v>1.5E-3</v>
      </c>
      <c r="R31" s="1">
        <v>1.2999999999999999E-3</v>
      </c>
      <c r="S31" s="1">
        <v>1.2999999999999999E-3</v>
      </c>
      <c r="T31" s="1">
        <v>1.2999999999999999E-3</v>
      </c>
      <c r="U31" s="1">
        <v>1.2999999999999999E-3</v>
      </c>
      <c r="V31" s="1">
        <f t="shared" si="0"/>
        <v>100</v>
      </c>
      <c r="W31" s="1">
        <f t="shared" si="1"/>
        <v>2.3E-3</v>
      </c>
      <c r="X31" s="1">
        <f t="shared" si="2"/>
        <v>0.22999999999999998</v>
      </c>
      <c r="Y31" s="1">
        <f t="shared" si="3"/>
        <v>60</v>
      </c>
      <c r="Z31" s="1">
        <f t="shared" si="4"/>
        <v>400</v>
      </c>
      <c r="AA31" s="1">
        <f t="shared" si="5"/>
        <v>2.3E-3</v>
      </c>
      <c r="AB31" s="1">
        <f t="shared" si="6"/>
        <v>0.91999999999999993</v>
      </c>
      <c r="AC31" s="1">
        <f t="shared" si="7"/>
        <v>0</v>
      </c>
      <c r="AD31" s="1">
        <f t="shared" si="8"/>
        <v>4000</v>
      </c>
      <c r="AE31" s="1">
        <f t="shared" si="9"/>
        <v>1.6000000000000001E-3</v>
      </c>
      <c r="AF31" s="1">
        <f t="shared" si="10"/>
        <v>6.4</v>
      </c>
      <c r="AG31" s="1">
        <f t="shared" si="11"/>
        <v>0</v>
      </c>
    </row>
    <row r="32" spans="1:33" x14ac:dyDescent="0.25">
      <c r="A32" s="1" t="s">
        <v>965</v>
      </c>
      <c r="B32" s="1">
        <f>BOM!B30</f>
        <v>3</v>
      </c>
      <c r="C32" s="1" t="s">
        <v>1001</v>
      </c>
      <c r="D32" s="1">
        <v>100</v>
      </c>
      <c r="E32" s="1">
        <v>100</v>
      </c>
      <c r="F32" s="1">
        <v>100</v>
      </c>
      <c r="G32" s="1">
        <v>1000000000</v>
      </c>
      <c r="H32" s="1">
        <v>1000000000</v>
      </c>
      <c r="I32" s="1">
        <v>1000000000</v>
      </c>
      <c r="J32" s="1">
        <v>1000000000</v>
      </c>
      <c r="K32" s="1">
        <v>1000000000</v>
      </c>
      <c r="L32" s="1">
        <v>1000000000</v>
      </c>
      <c r="M32" s="1">
        <v>1000000000</v>
      </c>
      <c r="N32" s="1">
        <v>1.1299999999999999E-2</v>
      </c>
      <c r="O32" s="1">
        <v>1.1299999999999999E-2</v>
      </c>
      <c r="P32" s="1">
        <v>1.1299999999999999E-2</v>
      </c>
      <c r="Q32" s="1">
        <v>1.1299999999999999E-2</v>
      </c>
      <c r="R32" s="1">
        <v>1.1299999999999999E-2</v>
      </c>
      <c r="S32" s="1">
        <v>1.1299999999999999E-2</v>
      </c>
      <c r="T32" s="1">
        <v>1.1299999999999999E-2</v>
      </c>
      <c r="U32" s="1">
        <v>1.1299999999999999E-2</v>
      </c>
      <c r="V32" s="1">
        <f t="shared" si="0"/>
        <v>100</v>
      </c>
      <c r="W32" s="1">
        <f t="shared" si="1"/>
        <v>1.1299999999999999E-2</v>
      </c>
      <c r="X32" s="1">
        <f t="shared" si="2"/>
        <v>1.1299999999999999</v>
      </c>
      <c r="Y32" s="1">
        <f t="shared" si="3"/>
        <v>70</v>
      </c>
      <c r="Z32" s="1">
        <f t="shared" si="4"/>
        <v>300</v>
      </c>
      <c r="AA32" s="1">
        <f t="shared" si="5"/>
        <v>1.1299999999999999E-2</v>
      </c>
      <c r="AB32" s="1">
        <f t="shared" si="6"/>
        <v>3.3899999999999997</v>
      </c>
      <c r="AC32" s="1">
        <f t="shared" si="7"/>
        <v>0</v>
      </c>
      <c r="AD32" s="1">
        <f t="shared" si="8"/>
        <v>3000</v>
      </c>
      <c r="AE32" s="1">
        <f t="shared" si="9"/>
        <v>1.1299999999999999E-2</v>
      </c>
      <c r="AF32" s="1">
        <f t="shared" si="10"/>
        <v>33.9</v>
      </c>
      <c r="AG32" s="1">
        <f t="shared" si="11"/>
        <v>0</v>
      </c>
    </row>
    <row r="33" spans="1:33" x14ac:dyDescent="0.25">
      <c r="A33" s="1" t="s">
        <v>969</v>
      </c>
      <c r="B33" s="1">
        <f>BOM!B31</f>
        <v>1</v>
      </c>
      <c r="C33" s="1" t="s">
        <v>1001</v>
      </c>
      <c r="D33" s="1">
        <v>100</v>
      </c>
      <c r="E33" s="1">
        <v>100</v>
      </c>
      <c r="F33" s="1">
        <v>100</v>
      </c>
      <c r="G33" s="1">
        <v>1000</v>
      </c>
      <c r="H33" s="1">
        <v>3000</v>
      </c>
      <c r="I33" s="1">
        <v>10000</v>
      </c>
      <c r="J33" s="1">
        <v>50000</v>
      </c>
      <c r="K33" s="1">
        <v>1000000000</v>
      </c>
      <c r="L33" s="1">
        <v>1000000000</v>
      </c>
      <c r="M33" s="1">
        <v>1000000000</v>
      </c>
      <c r="N33" s="1">
        <v>9.1000000000000004E-3</v>
      </c>
      <c r="O33" s="1">
        <v>7.4000000000000003E-3</v>
      </c>
      <c r="P33" s="1">
        <v>6.6E-3</v>
      </c>
      <c r="Q33" s="1">
        <v>4.4000000000000003E-3</v>
      </c>
      <c r="R33" s="1">
        <v>4.1999999999999997E-3</v>
      </c>
      <c r="S33" s="1">
        <v>4.1999999999999997E-3</v>
      </c>
      <c r="T33" s="1">
        <v>4.1999999999999997E-3</v>
      </c>
      <c r="U33" s="1">
        <v>4.1999999999999997E-3</v>
      </c>
      <c r="V33" s="1">
        <f t="shared" si="0"/>
        <v>100</v>
      </c>
      <c r="W33" s="1">
        <f t="shared" si="1"/>
        <v>9.1000000000000004E-3</v>
      </c>
      <c r="X33" s="1">
        <f t="shared" si="2"/>
        <v>0.91</v>
      </c>
      <c r="Y33" s="1">
        <f t="shared" si="3"/>
        <v>90</v>
      </c>
      <c r="Z33" s="1">
        <f t="shared" si="4"/>
        <v>100</v>
      </c>
      <c r="AA33" s="1">
        <f t="shared" si="5"/>
        <v>9.1000000000000004E-3</v>
      </c>
      <c r="AB33" s="1">
        <f t="shared" si="6"/>
        <v>0.91</v>
      </c>
      <c r="AC33" s="1">
        <f t="shared" si="7"/>
        <v>0</v>
      </c>
      <c r="AD33" s="1">
        <f t="shared" si="8"/>
        <v>1000</v>
      </c>
      <c r="AE33" s="1">
        <f t="shared" si="9"/>
        <v>7.4000000000000003E-3</v>
      </c>
      <c r="AF33" s="1">
        <f t="shared" si="10"/>
        <v>7.4</v>
      </c>
      <c r="AG33" s="1">
        <f t="shared" si="11"/>
        <v>0</v>
      </c>
    </row>
    <row r="35" spans="1:33" x14ac:dyDescent="0.25">
      <c r="A35" s="6" t="s">
        <v>1004</v>
      </c>
      <c r="B35" s="6" t="s">
        <v>1005</v>
      </c>
      <c r="C35" s="6" t="s">
        <v>1006</v>
      </c>
      <c r="D35" s="6" t="s">
        <v>1007</v>
      </c>
      <c r="E35" s="6" t="s">
        <v>1008</v>
      </c>
      <c r="F35" s="6" t="s">
        <v>1009</v>
      </c>
    </row>
    <row r="36" spans="1:33" x14ac:dyDescent="0.25">
      <c r="A36" s="1" t="s">
        <v>1010</v>
      </c>
      <c r="B36" s="1">
        <f>SUM(X4:X33)</f>
        <v>1102.8960150000005</v>
      </c>
      <c r="C36" s="1">
        <f>B36/10</f>
        <v>110.28960150000005</v>
      </c>
      <c r="D36" s="1" t="s">
        <v>1011</v>
      </c>
      <c r="E36" s="1">
        <f t="shared" ref="E36:F38" si="12">B36*$B$2</f>
        <v>3483419.8606564514</v>
      </c>
      <c r="F36" s="1">
        <f t="shared" si="12"/>
        <v>348341.98606564512</v>
      </c>
    </row>
    <row r="37" spans="1:33" x14ac:dyDescent="0.25">
      <c r="A37" s="1" t="s">
        <v>1012</v>
      </c>
      <c r="B37" s="1">
        <f>SUM(AB4:AB33)</f>
        <v>9899.8682999999965</v>
      </c>
      <c r="C37" s="1">
        <f>B37/100</f>
        <v>98.998682999999971</v>
      </c>
      <c r="D37" s="1" t="s">
        <v>1013</v>
      </c>
      <c r="E37" s="1">
        <f t="shared" si="12"/>
        <v>31268041.034768987</v>
      </c>
      <c r="F37" s="1">
        <f t="shared" si="12"/>
        <v>312680.41034768987</v>
      </c>
    </row>
    <row r="38" spans="1:33" x14ac:dyDescent="0.25">
      <c r="A38" s="1" t="s">
        <v>1014</v>
      </c>
      <c r="B38" s="1">
        <f>SUM(AF4:AF33)</f>
        <v>94076.880999999994</v>
      </c>
      <c r="C38" s="1">
        <f>B38/1000</f>
        <v>94.076881</v>
      </c>
      <c r="D38" s="1" t="s">
        <v>1015</v>
      </c>
      <c r="E38" s="1">
        <f t="shared" si="12"/>
        <v>297135243.25682998</v>
      </c>
      <c r="F38" s="1">
        <f t="shared" si="12"/>
        <v>297135.24325682997</v>
      </c>
    </row>
    <row r="40" spans="1:33" x14ac:dyDescent="0.25">
      <c r="A40" s="1" t="s">
        <v>1016</v>
      </c>
    </row>
    <row r="41" spans="1:33" x14ac:dyDescent="0.25">
      <c r="A41" s="1" t="s">
        <v>1017</v>
      </c>
    </row>
    <row r="42" spans="1:33" x14ac:dyDescent="0.25">
      <c r="A42" s="1" t="s">
        <v>1018</v>
      </c>
    </row>
  </sheetData>
  <mergeCells count="1">
    <mergeCell ref="C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5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80" style="1" customWidth="1"/>
  </cols>
  <sheetData>
    <row r="1" spans="1:1" ht="15" customHeight="1" x14ac:dyDescent="0.25">
      <c r="A1" s="4" t="s">
        <v>1019</v>
      </c>
    </row>
    <row r="2" spans="1:1" ht="15" customHeight="1" x14ac:dyDescent="0.25">
      <c r="A2" s="5" t="s">
        <v>1020</v>
      </c>
    </row>
    <row r="3" spans="1:1" ht="15" customHeight="1" x14ac:dyDescent="0.25">
      <c r="A3" s="5" t="s">
        <v>1021</v>
      </c>
    </row>
    <row r="4" spans="1:1" ht="15" customHeight="1" x14ac:dyDescent="0.25">
      <c r="A4" s="5" t="s">
        <v>1022</v>
      </c>
    </row>
    <row r="5" spans="1:1" ht="15" customHeight="1" x14ac:dyDescent="0.25">
      <c r="A5" s="5" t="s">
        <v>1023</v>
      </c>
    </row>
    <row r="6" spans="1:1" ht="15" customHeight="1" x14ac:dyDescent="0.25">
      <c r="A6" s="5" t="s">
        <v>1024</v>
      </c>
    </row>
    <row r="7" spans="1:1" ht="15" customHeight="1" x14ac:dyDescent="0.25">
      <c r="A7" s="5" t="s">
        <v>1025</v>
      </c>
    </row>
    <row r="8" spans="1:1" ht="15" customHeight="1" x14ac:dyDescent="0.25">
      <c r="A8" s="5" t="s">
        <v>1026</v>
      </c>
    </row>
    <row r="9" spans="1:1" ht="15" customHeight="1" x14ac:dyDescent="0.25">
      <c r="A9" s="5" t="s">
        <v>1027</v>
      </c>
    </row>
    <row r="10" spans="1:1" ht="15" customHeight="1" x14ac:dyDescent="0.25">
      <c r="A10" s="5" t="s">
        <v>1028</v>
      </c>
    </row>
    <row r="11" spans="1:1" ht="15" customHeight="1" x14ac:dyDescent="0.25">
      <c r="A11" s="5" t="s">
        <v>1029</v>
      </c>
    </row>
    <row r="12" spans="1:1" ht="15" customHeight="1" x14ac:dyDescent="0.25">
      <c r="A12" s="5" t="s">
        <v>1030</v>
      </c>
    </row>
    <row r="13" spans="1:1" ht="15" customHeight="1" x14ac:dyDescent="0.25">
      <c r="A13" s="5" t="s">
        <v>1031</v>
      </c>
    </row>
    <row r="14" spans="1:1" ht="15" customHeight="1" x14ac:dyDescent="0.25">
      <c r="A14" s="5" t="s">
        <v>1032</v>
      </c>
    </row>
    <row r="15" spans="1:1" ht="15" customHeight="1" x14ac:dyDescent="0.25">
      <c r="A15" s="5" t="s">
        <v>1033</v>
      </c>
    </row>
    <row r="16" spans="1:1" ht="15" customHeight="1" x14ac:dyDescent="0.25">
      <c r="A16" s="5" t="s">
        <v>1034</v>
      </c>
    </row>
    <row r="17" spans="1:1" ht="15" customHeight="1" x14ac:dyDescent="0.25">
      <c r="A17" s="5" t="s">
        <v>1035</v>
      </c>
    </row>
    <row r="18" spans="1:1" ht="15" customHeight="1" x14ac:dyDescent="0.25">
      <c r="A18" s="5" t="s">
        <v>1036</v>
      </c>
    </row>
    <row r="19" spans="1:1" ht="15" customHeight="1" x14ac:dyDescent="0.25">
      <c r="A19" s="5" t="s">
        <v>1037</v>
      </c>
    </row>
    <row r="20" spans="1:1" ht="15" customHeight="1" x14ac:dyDescent="0.25">
      <c r="A20" s="5" t="s">
        <v>1038</v>
      </c>
    </row>
    <row r="21" spans="1:1" ht="15" customHeight="1" x14ac:dyDescent="0.25">
      <c r="A21" s="5" t="s">
        <v>1039</v>
      </c>
    </row>
    <row r="22" spans="1:1" ht="15" customHeight="1" x14ac:dyDescent="0.25">
      <c r="A22" s="5" t="s">
        <v>1040</v>
      </c>
    </row>
    <row r="23" spans="1:1" ht="15" customHeight="1" x14ac:dyDescent="0.25">
      <c r="A23" s="5" t="s">
        <v>1041</v>
      </c>
    </row>
    <row r="24" spans="1:1" ht="15" customHeight="1" x14ac:dyDescent="0.25">
      <c r="A24" s="5" t="s">
        <v>1042</v>
      </c>
    </row>
    <row r="25" spans="1:1" ht="26.25" customHeight="1" x14ac:dyDescent="0.25">
      <c r="A25" s="5" t="s">
        <v>1043</v>
      </c>
    </row>
    <row r="26" spans="1:1" ht="15" customHeight="1" x14ac:dyDescent="0.25">
      <c r="A26" s="5" t="s">
        <v>1044</v>
      </c>
    </row>
    <row r="27" spans="1:1" ht="15" customHeight="1" x14ac:dyDescent="0.25">
      <c r="A27" s="5" t="s">
        <v>1045</v>
      </c>
    </row>
    <row r="28" spans="1:1" ht="15" customHeight="1" x14ac:dyDescent="0.25">
      <c r="A28" s="5" t="s">
        <v>1046</v>
      </c>
    </row>
    <row r="29" spans="1:1" ht="15" customHeight="1" x14ac:dyDescent="0.25">
      <c r="A29" s="5" t="s">
        <v>1047</v>
      </c>
    </row>
    <row r="30" spans="1:1" ht="15" customHeight="1" x14ac:dyDescent="0.25">
      <c r="A30" s="5" t="s">
        <v>1048</v>
      </c>
    </row>
    <row r="31" spans="1:1" ht="15" customHeight="1" x14ac:dyDescent="0.25">
      <c r="A31" s="5" t="s">
        <v>1049</v>
      </c>
    </row>
    <row r="32" spans="1:1" ht="15" customHeight="1" x14ac:dyDescent="0.25">
      <c r="A32" s="5" t="s">
        <v>1050</v>
      </c>
    </row>
    <row r="33" spans="1:1" ht="15" customHeight="1" x14ac:dyDescent="0.25">
      <c r="A33" s="5" t="s">
        <v>1051</v>
      </c>
    </row>
    <row r="34" spans="1:1" ht="15" customHeight="1" x14ac:dyDescent="0.25">
      <c r="A34" s="5" t="s">
        <v>1052</v>
      </c>
    </row>
    <row r="35" spans="1:1" ht="15" customHeight="1" x14ac:dyDescent="0.25">
      <c r="A35" s="5" t="s">
        <v>1053</v>
      </c>
    </row>
    <row r="36" spans="1:1" ht="15" customHeight="1" x14ac:dyDescent="0.25">
      <c r="A36" s="5" t="s">
        <v>1054</v>
      </c>
    </row>
    <row r="37" spans="1:1" ht="15" customHeight="1" x14ac:dyDescent="0.25">
      <c r="A37" s="5" t="s">
        <v>1055</v>
      </c>
    </row>
    <row r="38" spans="1:1" ht="15" customHeight="1" x14ac:dyDescent="0.25">
      <c r="A38" s="5" t="s">
        <v>1056</v>
      </c>
    </row>
    <row r="39" spans="1:1" ht="15" customHeight="1" x14ac:dyDescent="0.25">
      <c r="A39" s="5" t="s">
        <v>1057</v>
      </c>
    </row>
    <row r="40" spans="1:1" ht="15" customHeight="1" x14ac:dyDescent="0.25">
      <c r="A40" s="5" t="s">
        <v>1058</v>
      </c>
    </row>
    <row r="41" spans="1:1" ht="15" customHeight="1" x14ac:dyDescent="0.25">
      <c r="A41" s="5" t="s">
        <v>1059</v>
      </c>
    </row>
    <row r="42" spans="1:1" ht="15" customHeight="1" x14ac:dyDescent="0.25">
      <c r="A42" s="5" t="s">
        <v>1060</v>
      </c>
    </row>
    <row r="43" spans="1:1" ht="15" customHeight="1" x14ac:dyDescent="0.25">
      <c r="A43" s="5" t="s">
        <v>1061</v>
      </c>
    </row>
    <row r="44" spans="1:1" ht="15" customHeight="1" x14ac:dyDescent="0.25">
      <c r="A44" s="5" t="s">
        <v>1062</v>
      </c>
    </row>
    <row r="45" spans="1:1" ht="15" customHeight="1" x14ac:dyDescent="0.25">
      <c r="A45" s="5" t="s">
        <v>1063</v>
      </c>
    </row>
    <row r="46" spans="1:1" ht="15" customHeight="1" x14ac:dyDescent="0.25">
      <c r="A46" s="5" t="s">
        <v>1064</v>
      </c>
    </row>
    <row r="47" spans="1:1" ht="15" customHeight="1" x14ac:dyDescent="0.25">
      <c r="A47" s="5" t="s">
        <v>1065</v>
      </c>
    </row>
    <row r="48" spans="1:1" ht="15" customHeight="1" x14ac:dyDescent="0.25">
      <c r="A48" s="5" t="s">
        <v>1066</v>
      </c>
    </row>
    <row r="49" spans="1:1" x14ac:dyDescent="0.25">
      <c r="A49" s="1" t="s">
        <v>1067</v>
      </c>
    </row>
    <row r="51" spans="1:1" x14ac:dyDescent="0.25">
      <c r="A51" s="1" t="s">
        <v>1068</v>
      </c>
    </row>
    <row r="52" spans="1:1" x14ac:dyDescent="0.25">
      <c r="A52" s="1" t="s">
        <v>1069</v>
      </c>
    </row>
    <row r="54" spans="1:1" x14ac:dyDescent="0.25">
      <c r="A54" s="1" t="s">
        <v>1070</v>
      </c>
    </row>
    <row r="56" spans="1:1" x14ac:dyDescent="0.25">
      <c r="A56" s="1" t="s">
        <v>1071</v>
      </c>
    </row>
    <row r="57" spans="1:1" x14ac:dyDescent="0.25">
      <c r="A57" s="1" t="s">
        <v>1072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Leeme</vt:lpstr>
      <vt:lpstr>Especificaciones</vt:lpstr>
      <vt:lpstr>Cambios_P3</vt:lpstr>
      <vt:lpstr>Seleccion</vt:lpstr>
      <vt:lpstr>Conectores</vt:lpstr>
      <vt:lpstr>Calculos</vt:lpstr>
      <vt:lpstr>Restricciones</vt:lpstr>
      <vt:lpstr>Fabricacion</vt:lpstr>
      <vt:lpstr>Directivas_Altium</vt:lpstr>
      <vt:lpstr>Ciclo_de_vida</vt:lpstr>
      <vt:lpstr>BOM</vt:lpstr>
      <vt:lpstr>Costos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Duvan Ramirez</cp:lastModifiedBy>
  <dcterms:modified xsi:type="dcterms:W3CDTF">2026-10-26T20:30:05Z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2026-10-07T12:49:58Z</dcterms:created>
  <dc:creator>openpyxl</dc:creator>
  <dc:description/>
  <dc:language>en-US</dc:language>
  <cp:lastModifiedBy/>
  <dcterms:modified xsi:type="dcterms:W3CDTF">2026-10-26T18:22:48Z</dcterms:modified>
  <cp:revision>1</cp:revision>
  <dc:subject/>
  <dc:title/>
</cp:coreProperties>
</file>